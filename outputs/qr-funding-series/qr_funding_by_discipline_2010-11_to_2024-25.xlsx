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benjohnson/dev/science/qrahss/outputs/qr-funding-series/"/>
    </mc:Choice>
  </mc:AlternateContent>
  <xr:revisionPtr revIDLastSave="0" documentId="13_ncr:1_{31BB15C7-1C58-F34C-99E6-542466A3E3FD}" xr6:coauthVersionLast="47" xr6:coauthVersionMax="47" xr10:uidLastSave="{00000000-0000-0000-0000-000000000000}"/>
  <bookViews>
    <workbookView xWindow="0" yWindow="600" windowWidth="51200" windowHeight="27380" activeTab="2" xr2:uid="{00000000-000D-0000-FFFF-FFFF00000000}"/>
  </bookViews>
  <sheets>
    <sheet name="Components" sheetId="1" r:id="rId1"/>
    <sheet name="Annual series" sheetId="2" r:id="rId2"/>
    <sheet name="Summary" sheetId="3" r:id="rId3"/>
    <sheet name="Method" sheetId="4" r:id="rId4"/>
    <sheet name="Check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3" l="1"/>
  <c r="B20" i="3"/>
  <c r="D64" i="2"/>
  <c r="D61" i="2"/>
  <c r="D60" i="2"/>
  <c r="D58" i="2"/>
  <c r="F58" i="2" s="1"/>
  <c r="C26" i="3" s="1"/>
  <c r="D57" i="2"/>
  <c r="F57" i="2" s="1"/>
  <c r="B26" i="3" s="1"/>
  <c r="D52" i="2"/>
  <c r="D50" i="2"/>
  <c r="D47" i="2"/>
  <c r="D46" i="2"/>
  <c r="D43" i="2"/>
  <c r="F43" i="2" s="1"/>
  <c r="D22" i="3" s="1"/>
  <c r="F38" i="2"/>
  <c r="C21" i="3" s="1"/>
  <c r="D38" i="2"/>
  <c r="D36" i="2"/>
  <c r="D34" i="2"/>
  <c r="D33" i="2"/>
  <c r="F33" i="2" s="1"/>
  <c r="H32" i="2"/>
  <c r="D32" i="2"/>
  <c r="F32" i="2" s="1"/>
  <c r="E19" i="3" s="1"/>
  <c r="D30" i="2"/>
  <c r="D29" i="2"/>
  <c r="F29" i="2" s="1"/>
  <c r="B19" i="3" s="1"/>
  <c r="D24" i="2"/>
  <c r="D22" i="2"/>
  <c r="D19" i="2"/>
  <c r="F19" i="2" s="1"/>
  <c r="D16" i="3" s="1"/>
  <c r="D18" i="2"/>
  <c r="D15" i="2"/>
  <c r="F10" i="2"/>
  <c r="C14" i="3" s="1"/>
  <c r="D10" i="2"/>
  <c r="H8" i="2"/>
  <c r="D8" i="2"/>
  <c r="D5" i="2"/>
  <c r="N63" i="1"/>
  <c r="E64" i="2" s="1"/>
  <c r="H63" i="1"/>
  <c r="N62" i="1"/>
  <c r="E63" i="2" s="1"/>
  <c r="H63" i="2" s="1"/>
  <c r="H62" i="1"/>
  <c r="D63" i="2" s="1"/>
  <c r="F63" i="2" s="1"/>
  <c r="H61" i="1"/>
  <c r="D62" i="2" s="1"/>
  <c r="H60" i="1"/>
  <c r="N60" i="1" s="1"/>
  <c r="E61" i="2" s="1"/>
  <c r="N59" i="1"/>
  <c r="E60" i="2" s="1"/>
  <c r="G60" i="2" s="1"/>
  <c r="H59" i="1"/>
  <c r="H58" i="1"/>
  <c r="D59" i="2" s="1"/>
  <c r="N57" i="1"/>
  <c r="E58" i="2" s="1"/>
  <c r="H57" i="1"/>
  <c r="N56" i="1"/>
  <c r="E57" i="2" s="1"/>
  <c r="H56" i="1"/>
  <c r="C19" i="5" s="1"/>
  <c r="D19" i="5" s="1"/>
  <c r="E19" i="5" s="1"/>
  <c r="N55" i="1"/>
  <c r="E56" i="2" s="1"/>
  <c r="H55" i="1"/>
  <c r="D56" i="2" s="1"/>
  <c r="F56" i="2" s="1"/>
  <c r="E25" i="3" s="1"/>
  <c r="H54" i="1"/>
  <c r="D55" i="2" s="1"/>
  <c r="H53" i="1"/>
  <c r="D54" i="2" s="1"/>
  <c r="N52" i="1"/>
  <c r="E53" i="2" s="1"/>
  <c r="H52" i="1"/>
  <c r="D53" i="2" s="1"/>
  <c r="H51" i="1"/>
  <c r="N51" i="1" s="1"/>
  <c r="E52" i="2" s="1"/>
  <c r="F52" i="2" s="1"/>
  <c r="E24" i="3" s="1"/>
  <c r="H50" i="1"/>
  <c r="N49" i="1"/>
  <c r="E50" i="2" s="1"/>
  <c r="H49" i="1"/>
  <c r="N48" i="1"/>
  <c r="E49" i="2" s="1"/>
  <c r="H49" i="2" s="1"/>
  <c r="H48" i="1"/>
  <c r="D49" i="2" s="1"/>
  <c r="F49" i="2" s="1"/>
  <c r="B24" i="3" s="1"/>
  <c r="H47" i="1"/>
  <c r="H46" i="1"/>
  <c r="N46" i="1" s="1"/>
  <c r="E47" i="2" s="1"/>
  <c r="N45" i="1"/>
  <c r="E46" i="2" s="1"/>
  <c r="G46" i="2" s="1"/>
  <c r="H45" i="1"/>
  <c r="H44" i="1"/>
  <c r="D45" i="2" s="1"/>
  <c r="H43" i="1"/>
  <c r="D44" i="2" s="1"/>
  <c r="N42" i="1"/>
  <c r="E43" i="2" s="1"/>
  <c r="H42" i="1"/>
  <c r="N41" i="1"/>
  <c r="E42" i="2" s="1"/>
  <c r="H41" i="1"/>
  <c r="D42" i="2" s="1"/>
  <c r="F42" i="2" s="1"/>
  <c r="H40" i="1"/>
  <c r="H39" i="1"/>
  <c r="D40" i="2" s="1"/>
  <c r="N38" i="1"/>
  <c r="E39" i="2" s="1"/>
  <c r="H38" i="1"/>
  <c r="D39" i="2" s="1"/>
  <c r="F39" i="2" s="1"/>
  <c r="D21" i="3" s="1"/>
  <c r="H37" i="1"/>
  <c r="N37" i="1" s="1"/>
  <c r="E38" i="2" s="1"/>
  <c r="H36" i="1"/>
  <c r="D37" i="2" s="1"/>
  <c r="N35" i="1"/>
  <c r="E36" i="2" s="1"/>
  <c r="G36" i="2" s="1"/>
  <c r="H35" i="1"/>
  <c r="N34" i="1"/>
  <c r="E35" i="2" s="1"/>
  <c r="H35" i="2" s="1"/>
  <c r="H34" i="1"/>
  <c r="D35" i="2" s="1"/>
  <c r="F35" i="2" s="1"/>
  <c r="D20" i="3" s="1"/>
  <c r="H33" i="1"/>
  <c r="N33" i="1" s="1"/>
  <c r="E34" i="2" s="1"/>
  <c r="H32" i="1"/>
  <c r="N32" i="1" s="1"/>
  <c r="E33" i="2" s="1"/>
  <c r="N31" i="1"/>
  <c r="E32" i="2" s="1"/>
  <c r="G32" i="2" s="1"/>
  <c r="H31" i="1"/>
  <c r="H30" i="1"/>
  <c r="D31" i="2" s="1"/>
  <c r="H29" i="1"/>
  <c r="N29" i="1" s="1"/>
  <c r="E30" i="2" s="1"/>
  <c r="N28" i="1"/>
  <c r="E29" i="2" s="1"/>
  <c r="H28" i="1"/>
  <c r="C12" i="5" s="1"/>
  <c r="D12" i="5" s="1"/>
  <c r="E12" i="5" s="1"/>
  <c r="N27" i="1"/>
  <c r="E28" i="2" s="1"/>
  <c r="H27" i="1"/>
  <c r="D28" i="2" s="1"/>
  <c r="F28" i="2" s="1"/>
  <c r="E18" i="3" s="1"/>
  <c r="H26" i="1"/>
  <c r="D27" i="2" s="1"/>
  <c r="H25" i="1"/>
  <c r="D26" i="2" s="1"/>
  <c r="N24" i="1"/>
  <c r="E25" i="2" s="1"/>
  <c r="H25" i="2" s="1"/>
  <c r="H24" i="1"/>
  <c r="C11" i="5" s="1"/>
  <c r="D11" i="5" s="1"/>
  <c r="E11" i="5" s="1"/>
  <c r="H23" i="1"/>
  <c r="N23" i="1" s="1"/>
  <c r="E24" i="2" s="1"/>
  <c r="F24" i="2" s="1"/>
  <c r="E17" i="3" s="1"/>
  <c r="H22" i="1"/>
  <c r="N21" i="1"/>
  <c r="E22" i="2" s="1"/>
  <c r="G22" i="2" s="1"/>
  <c r="H21" i="1"/>
  <c r="N20" i="1"/>
  <c r="E21" i="2" s="1"/>
  <c r="H21" i="2" s="1"/>
  <c r="H20" i="1"/>
  <c r="D21" i="2" s="1"/>
  <c r="F21" i="2" s="1"/>
  <c r="B17" i="3" s="1"/>
  <c r="H19" i="1"/>
  <c r="N19" i="1" s="1"/>
  <c r="E20" i="2" s="1"/>
  <c r="H18" i="1"/>
  <c r="N18" i="1" s="1"/>
  <c r="E19" i="2" s="1"/>
  <c r="N17" i="1"/>
  <c r="E18" i="2" s="1"/>
  <c r="G18" i="2" s="1"/>
  <c r="H17" i="1"/>
  <c r="H16" i="1"/>
  <c r="D17" i="2" s="1"/>
  <c r="H15" i="1"/>
  <c r="D16" i="2" s="1"/>
  <c r="N14" i="1"/>
  <c r="E15" i="2" s="1"/>
  <c r="H14" i="1"/>
  <c r="N13" i="1"/>
  <c r="E14" i="2" s="1"/>
  <c r="H13" i="1"/>
  <c r="D14" i="2" s="1"/>
  <c r="F14" i="2" s="1"/>
  <c r="C15" i="3" s="1"/>
  <c r="H12" i="1"/>
  <c r="N12" i="1" s="1"/>
  <c r="E13" i="2" s="1"/>
  <c r="H11" i="1"/>
  <c r="D12" i="2" s="1"/>
  <c r="N10" i="1"/>
  <c r="E11" i="2" s="1"/>
  <c r="H11" i="2" s="1"/>
  <c r="H10" i="1"/>
  <c r="D11" i="2" s="1"/>
  <c r="H9" i="1"/>
  <c r="N9" i="1" s="1"/>
  <c r="E10" i="2" s="1"/>
  <c r="H8" i="1"/>
  <c r="N7" i="1"/>
  <c r="E8" i="2" s="1"/>
  <c r="G8" i="2" s="1"/>
  <c r="H7" i="1"/>
  <c r="N6" i="1"/>
  <c r="E7" i="2" s="1"/>
  <c r="H7" i="2" s="1"/>
  <c r="H6" i="1"/>
  <c r="D7" i="2" s="1"/>
  <c r="F7" i="2" s="1"/>
  <c r="D13" i="3" s="1"/>
  <c r="H5" i="1"/>
  <c r="D6" i="2" s="1"/>
  <c r="H4" i="1"/>
  <c r="N4" i="1" s="1"/>
  <c r="E5" i="2" s="1"/>
  <c r="H20" i="2" l="1"/>
  <c r="G20" i="2"/>
  <c r="H30" i="2"/>
  <c r="G30" i="2"/>
  <c r="G13" i="2"/>
  <c r="H13" i="2"/>
  <c r="H34" i="2"/>
  <c r="G34" i="2"/>
  <c r="H15" i="2"/>
  <c r="G15" i="2"/>
  <c r="F16" i="2"/>
  <c r="E15" i="3" s="1"/>
  <c r="H53" i="2"/>
  <c r="G53" i="2"/>
  <c r="H18" i="2"/>
  <c r="H5" i="2"/>
  <c r="B7" i="3" s="1"/>
  <c r="G5" i="2"/>
  <c r="N36" i="1"/>
  <c r="E37" i="2" s="1"/>
  <c r="H38" i="2"/>
  <c r="G38" i="2"/>
  <c r="H52" i="2"/>
  <c r="G52" i="2"/>
  <c r="H61" i="2"/>
  <c r="G61" i="2"/>
  <c r="F45" i="2"/>
  <c r="B23" i="3" s="1"/>
  <c r="H29" i="2"/>
  <c r="G29" i="2"/>
  <c r="F30" i="2"/>
  <c r="C19" i="3" s="1"/>
  <c r="H56" i="2"/>
  <c r="G56" i="2"/>
  <c r="D27" i="3"/>
  <c r="G7" i="3"/>
  <c r="D20" i="2"/>
  <c r="F20" i="2" s="1"/>
  <c r="E16" i="3" s="1"/>
  <c r="D23" i="2"/>
  <c r="F23" i="2" s="1"/>
  <c r="D17" i="3" s="1"/>
  <c r="C10" i="5"/>
  <c r="D10" i="5" s="1"/>
  <c r="E10" i="5" s="1"/>
  <c r="C16" i="5"/>
  <c r="D16" i="5" s="1"/>
  <c r="E16" i="5" s="1"/>
  <c r="D48" i="2"/>
  <c r="F48" i="2" s="1"/>
  <c r="E23" i="3" s="1"/>
  <c r="C15" i="5"/>
  <c r="D15" i="5" s="1"/>
  <c r="E15" i="5" s="1"/>
  <c r="D41" i="2"/>
  <c r="F5" i="2"/>
  <c r="F60" i="2"/>
  <c r="E26" i="3" s="1"/>
  <c r="N40" i="1"/>
  <c r="E41" i="2" s="1"/>
  <c r="H28" i="2"/>
  <c r="G28" i="2"/>
  <c r="N43" i="1"/>
  <c r="E44" i="2" s="1"/>
  <c r="F44" i="2" s="1"/>
  <c r="E22" i="3" s="1"/>
  <c r="F53" i="2"/>
  <c r="B25" i="3" s="1"/>
  <c r="F18" i="2"/>
  <c r="C16" i="3" s="1"/>
  <c r="D13" i="2"/>
  <c r="F13" i="2" s="1"/>
  <c r="B15" i="3" s="1"/>
  <c r="C8" i="5"/>
  <c r="D8" i="5" s="1"/>
  <c r="E8" i="5" s="1"/>
  <c r="N61" i="1"/>
  <c r="E62" i="2" s="1"/>
  <c r="N5" i="1"/>
  <c r="E6" i="2" s="1"/>
  <c r="H14" i="2"/>
  <c r="G14" i="2"/>
  <c r="H47" i="2"/>
  <c r="G47" i="2"/>
  <c r="N54" i="1"/>
  <c r="E55" i="2" s="1"/>
  <c r="G11" i="2"/>
  <c r="H39" i="2"/>
  <c r="G39" i="2"/>
  <c r="G21" i="2"/>
  <c r="H64" i="2"/>
  <c r="G64" i="2"/>
  <c r="F46" i="2"/>
  <c r="C23" i="3" s="1"/>
  <c r="N15" i="1"/>
  <c r="E16" i="2" s="1"/>
  <c r="H57" i="2"/>
  <c r="G57" i="2"/>
  <c r="H46" i="2"/>
  <c r="F17" i="2"/>
  <c r="B16" i="3" s="1"/>
  <c r="F15" i="2"/>
  <c r="D15" i="3" s="1"/>
  <c r="F47" i="2"/>
  <c r="D23" i="3" s="1"/>
  <c r="F61" i="2"/>
  <c r="F34" i="2"/>
  <c r="C20" i="3" s="1"/>
  <c r="C7" i="5"/>
  <c r="D7" i="5" s="1"/>
  <c r="E7" i="5" s="1"/>
  <c r="D9" i="2"/>
  <c r="F9" i="2" s="1"/>
  <c r="B14" i="3" s="1"/>
  <c r="N8" i="1"/>
  <c r="E9" i="2" s="1"/>
  <c r="H42" i="2"/>
  <c r="G42" i="2"/>
  <c r="H50" i="2"/>
  <c r="G50" i="2"/>
  <c r="H58" i="2"/>
  <c r="G58" i="2"/>
  <c r="G35" i="2"/>
  <c r="D51" i="2"/>
  <c r="C17" i="5"/>
  <c r="D17" i="5" s="1"/>
  <c r="E17" i="5" s="1"/>
  <c r="G7" i="2"/>
  <c r="G25" i="2"/>
  <c r="F36" i="2"/>
  <c r="E20" i="3" s="1"/>
  <c r="G49" i="2"/>
  <c r="G63" i="2"/>
  <c r="N22" i="1"/>
  <c r="E23" i="2" s="1"/>
  <c r="N47" i="1"/>
  <c r="E48" i="2" s="1"/>
  <c r="F22" i="2"/>
  <c r="C17" i="3" s="1"/>
  <c r="H24" i="2"/>
  <c r="G24" i="2"/>
  <c r="H22" i="2"/>
  <c r="H33" i="2"/>
  <c r="G33" i="2"/>
  <c r="H60" i="2"/>
  <c r="H10" i="2"/>
  <c r="G10" i="2"/>
  <c r="F27" i="2"/>
  <c r="D18" i="3" s="1"/>
  <c r="F11" i="2"/>
  <c r="D14" i="3" s="1"/>
  <c r="H19" i="2"/>
  <c r="G19" i="2"/>
  <c r="N26" i="1"/>
  <c r="E27" i="2" s="1"/>
  <c r="H43" i="2"/>
  <c r="G43" i="2"/>
  <c r="N50" i="1"/>
  <c r="E51" i="2" s="1"/>
  <c r="F8" i="2"/>
  <c r="E13" i="3" s="1"/>
  <c r="H36" i="2"/>
  <c r="F50" i="2"/>
  <c r="C24" i="3" s="1"/>
  <c r="F64" i="2"/>
  <c r="C14" i="5"/>
  <c r="D14" i="5" s="1"/>
  <c r="E14" i="5" s="1"/>
  <c r="C13" i="5"/>
  <c r="D13" i="5" s="1"/>
  <c r="E13" i="5" s="1"/>
  <c r="C18" i="5"/>
  <c r="D18" i="5" s="1"/>
  <c r="E18" i="5" s="1"/>
  <c r="C9" i="5"/>
  <c r="D9" i="5" s="1"/>
  <c r="E9" i="5" s="1"/>
  <c r="D25" i="2"/>
  <c r="F25" i="2" s="1"/>
  <c r="B18" i="3" s="1"/>
  <c r="N16" i="1"/>
  <c r="E17" i="2" s="1"/>
  <c r="N30" i="1"/>
  <c r="E31" i="2" s="1"/>
  <c r="F31" i="2" s="1"/>
  <c r="D19" i="3" s="1"/>
  <c r="N44" i="1"/>
  <c r="E45" i="2" s="1"/>
  <c r="N58" i="1"/>
  <c r="E59" i="2" s="1"/>
  <c r="F59" i="2" s="1"/>
  <c r="D26" i="3" s="1"/>
  <c r="C6" i="5"/>
  <c r="D6" i="5" s="1"/>
  <c r="E6" i="5" s="1"/>
  <c r="C20" i="5"/>
  <c r="D20" i="5" s="1"/>
  <c r="E20" i="5" s="1"/>
  <c r="N11" i="1"/>
  <c r="E12" i="2" s="1"/>
  <c r="N25" i="1"/>
  <c r="E26" i="2" s="1"/>
  <c r="F26" i="2" s="1"/>
  <c r="C18" i="3" s="1"/>
  <c r="N39" i="1"/>
  <c r="E40" i="2" s="1"/>
  <c r="N53" i="1"/>
  <c r="E54" i="2" s="1"/>
  <c r="H54" i="2" l="1"/>
  <c r="G54" i="2"/>
  <c r="H44" i="2"/>
  <c r="G44" i="2"/>
  <c r="H9" i="2"/>
  <c r="G9" i="2"/>
  <c r="H40" i="2"/>
  <c r="G40" i="2"/>
  <c r="E27" i="3"/>
  <c r="H7" i="3"/>
  <c r="E7" i="3"/>
  <c r="B27" i="3"/>
  <c r="H26" i="2"/>
  <c r="G26" i="2"/>
  <c r="H12" i="2"/>
  <c r="G12" i="2"/>
  <c r="F51" i="2"/>
  <c r="D24" i="3" s="1"/>
  <c r="G55" i="2"/>
  <c r="H55" i="2"/>
  <c r="F54" i="2"/>
  <c r="C25" i="3" s="1"/>
  <c r="G41" i="2"/>
  <c r="H41" i="2"/>
  <c r="G37" i="2"/>
  <c r="H37" i="2"/>
  <c r="F37" i="2"/>
  <c r="B21" i="3" s="1"/>
  <c r="B25" i="5"/>
  <c r="A7" i="3"/>
  <c r="G59" i="2"/>
  <c r="H59" i="2"/>
  <c r="B24" i="5"/>
  <c r="B13" i="3"/>
  <c r="C7" i="3"/>
  <c r="F41" i="2"/>
  <c r="B22" i="3" s="1"/>
  <c r="H62" i="2"/>
  <c r="G62" i="2"/>
  <c r="G51" i="2"/>
  <c r="H51" i="2"/>
  <c r="G31" i="2"/>
  <c r="H31" i="2"/>
  <c r="H48" i="2"/>
  <c r="G48" i="2"/>
  <c r="H6" i="2"/>
  <c r="G6" i="2"/>
  <c r="F6" i="2"/>
  <c r="C13" i="3" s="1"/>
  <c r="G45" i="2"/>
  <c r="H45" i="2"/>
  <c r="G27" i="2"/>
  <c r="H27" i="2"/>
  <c r="G17" i="2"/>
  <c r="H17" i="2"/>
  <c r="G23" i="2"/>
  <c r="H23" i="2"/>
  <c r="H16" i="2"/>
  <c r="G16" i="2"/>
  <c r="F55" i="2"/>
  <c r="D25" i="3" s="1"/>
  <c r="F40" i="2"/>
  <c r="E21" i="3" s="1"/>
  <c r="F62" i="2"/>
  <c r="F12" i="2"/>
  <c r="E14" i="3" s="1"/>
  <c r="C27" i="3" l="1"/>
  <c r="F7" i="3"/>
</calcChain>
</file>

<file path=xl/sharedStrings.xml><?xml version="1.0" encoding="utf-8"?>
<sst xmlns="http://schemas.openxmlformats.org/spreadsheetml/2006/main" count="467" uniqueCount="146">
  <si>
    <t>QR and identifiable research funding components</t>
  </si>
  <si>
    <t>Academic year</t>
  </si>
  <si>
    <t>Broad discipline</t>
  </si>
  <si>
    <t>Mainstream QR</t>
  </si>
  <si>
    <t>London QR</t>
  </si>
  <si>
    <t>RDP QR</t>
  </si>
  <si>
    <t>Charity QR</t>
  </si>
  <si>
    <t>Business QR</t>
  </si>
  <si>
    <t>Total QR</t>
  </si>
  <si>
    <t>Research Councils</t>
  </si>
  <si>
    <t>Charities</t>
  </si>
  <si>
    <t>Central government</t>
  </si>
  <si>
    <t>Industry</t>
  </si>
  <si>
    <t>Overseas</t>
  </si>
  <si>
    <t>Identifiable funding</t>
  </si>
  <si>
    <t>2010-11</t>
  </si>
  <si>
    <t>Arts and Humanities</t>
  </si>
  <si>
    <t>Social Sciences</t>
  </si>
  <si>
    <t>STEM</t>
  </si>
  <si>
    <t>Health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</si>
  <si>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</si>
  <si>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</si>
  <si>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</si>
  <si>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</si>
  <si>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</si>
  <si>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</si>
  <si>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</si>
  <si>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</si>
  <si>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</si>
  <si>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</si>
  <si>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</si>
  <si>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</si>
  <si>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</si>
  <si>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</si>
  <si>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QR share of identifiable research funding by broad discipline</t>
  </si>
  <si>
    <t>All values are England totals. Percentages are nominal funding shares; the shaded years use reconstructed QR subject allocations.</t>
  </si>
  <si>
    <t>QR data status</t>
  </si>
  <si>
    <t>Total QR (£)</t>
  </si>
  <si>
    <t>Identifiable funding (£)</t>
  </si>
  <si>
    <t>QR share</t>
  </si>
  <si>
    <t>Mainstream QR share</t>
  </si>
  <si>
    <t>Other QR share</t>
  </si>
  <si>
    <t>Sensitivity low</t>
  </si>
  <si>
    <t>Sensitivity high</t>
  </si>
  <si>
    <t>Published QR; provider support funds allocated by HESA income</t>
  </si>
  <si>
    <t>Reconstructed (missing detailed QR workbook)</t>
  </si>
  <si>
    <t>Published QR; RDP subject mix carried forward from 2023-24</t>
  </si>
  <si>
    <t>The role of QR funding across disciplines</t>
  </si>
  <si>
    <t>Reconstruction of HEFCE's 2010/11 result and extension to the latest common QR/HESA year (2024/25)</t>
  </si>
  <si>
    <t>2010/11 Arts and Humanities reproduction</t>
  </si>
  <si>
    <t>2024/25 QR share</t>
  </si>
  <si>
    <t>Other QR</t>
  </si>
  <si>
    <t>Total QR share</t>
  </si>
  <si>
    <t>A&amp;H</t>
  </si>
  <si>
    <t>The report's ‘around 70%’ is 68.20% on the reconstructed data. QR remains the largest identifiable stream for A&amp;H in 2024/25.</t>
  </si>
  <si>
    <t>Reading the bridge</t>
  </si>
  <si>
    <t>2015/16–2018/19 use the published national pots and reconstruct the missing subject distribution. Sensitivity columns show the effect of using the 2014/15 rather than 2019/20 RDP discipline mix.</t>
  </si>
  <si>
    <t>Method, definitions and source register</t>
  </si>
  <si>
    <t>Topic</t>
  </si>
  <si>
    <t>Method used</t>
  </si>
  <si>
    <t>Implication</t>
  </si>
  <si>
    <t>Primary source</t>
  </si>
  <si>
    <t>Scope</t>
  </si>
  <si>
    <t>England; academic years 2010/11–2024/25; four broad disciplines.</t>
  </si>
  <si>
    <t>2024/25 is the latest year with both QR allocations and a HESA denominator.</t>
  </si>
  <si>
    <t>HEFCE/Research England; HESA Finance Table 5/5b</t>
  </si>
  <si>
    <t>QR numerator</t>
  </si>
  <si>
    <t>Mainstream QR + London weighting + RDP supervision + charity support + business research element.</t>
  </si>
  <si>
    <t>National Research Libraries and temporary GCRF QR are excluded for consistency with the 2014 figure.</t>
  </si>
  <si>
    <t>HEFCE/Research England detailed allocation tables</t>
  </si>
  <si>
    <t>Denominator</t>
  </si>
  <si>
    <t>QR numerator + Research Councils + UK charities + central government + UK industry + overseas research income.</t>
  </si>
  <si>
    <t>HESA UK other sources and the source-table total are excluded, matching Figure 9.3.</t>
  </si>
  <si>
    <t>HESA Finance Plus Table 5b / Table 5 CSV</t>
  </si>
  <si>
    <t>2010/11 result</t>
  </si>
  <si>
    <t>Provider support-fund grants are split by the provider's qualifying HESA income across cost centres, then aggregated.</t>
  </si>
  <si>
    <t>A&amp;H: 54.66% mainstream QR + 13.53% other QR = 68.20% total QR.</t>
  </si>
  <si>
    <t>resdata1011.xls; business1011.xls; HE_Finance_Plus_2010-11.zip</t>
  </si>
  <si>
    <t>2015/16–2018/19 mainstream</t>
  </si>
  <si>
    <t>Use the 2019/20 REF2014 UOA distribution, reverse UOA 4's 1.60 cost weight to 1.42, and scale to the published annual mainstream-plus-London pot.</t>
  </si>
  <si>
    <t>Reconstructs the stable formula base while excluding separately identified GCRF additions.</t>
  </si>
  <si>
    <t>HEFCE funding guides; RE 2019/20 data-source note</t>
  </si>
  <si>
    <t>2015/16–2018/19 RDP</t>
  </si>
  <si>
    <t>Use the adjusted 2019/20 UOA distribution and scale to each annual RDP pot.</t>
  </si>
  <si>
    <t>Exact values require unpublished student-level derived inputs; low/high columns use 2014/15 and 2019/20 discipline mixes as endpoint sensitivity.</t>
  </si>
  <si>
    <t>RE RDP 2019/20 workbook; HEFCE/RE funding guides</t>
  </si>
  <si>
    <t>Charity/business QR</t>
  </si>
  <si>
    <t>Split published provider grants by qualifying charity/industry income across that provider's HESA cost centres. Unmatched residuals use the national qualifying-income mix.</t>
  </si>
  <si>
    <t>The grant totals are observed; their discipline allocation is constructed consistently for every year.</t>
  </si>
  <si>
    <t>HEFCE/RE provider grants; HESA Finance Table 5</t>
  </si>
  <si>
    <t>2024/25 RDP</t>
  </si>
  <si>
    <t>Carry forward each provider's 2023/24 UOA shares and scale to its published 2024/25 RDP total.</t>
  </si>
  <si>
    <t>Matches Research England's stated carry-forward approach; new providers use national shares.</t>
  </si>
  <si>
    <t>Research England provider grant tables 2023/24 and 2024/25</t>
  </si>
  <si>
    <t>Broad disciplines</t>
  </si>
  <si>
    <t>Legacy HESA: Health 01,02,04–08; STEM 03,10–25 selected; Social 26–29,34,38,41; A&amp;H 30,31,33,35,37. New HESA: Health 101–107; STEM 109–123; Social 108,124,127–136; A&amp;H 125–126,137–145.</t>
  </si>
  <si>
    <t>Keeps the report's disciplinary logic across the 2012/13 cost-centre change.</t>
  </si>
  <si>
    <t>HESA cost-centre classifications</t>
  </si>
  <si>
    <t>REF UOA mapping</t>
  </si>
  <si>
    <t>REF2014: Health 1–4; STEM 5–16; Social 17–26; A&amp;H 27–36. REF2021: Health 1–4; STEM 5–13; Social 14 and 16–24; A&amp;H 15 and 25–34.</t>
  </si>
  <si>
    <t>Architecture stays in STEM; archaeology/area studies stay in A&amp;H.</t>
  </si>
  <si>
    <t>REF UOA definitions and HESA mapping workbook</t>
  </si>
  <si>
    <t>Prices</t>
  </si>
  <si>
    <t>Nominal pounds; shares are calculated within each year.</t>
  </si>
  <si>
    <t>No deflator is required for the percentage series.</t>
  </si>
  <si>
    <t>All source tables</t>
  </si>
  <si>
    <t>Interpretation</t>
  </si>
  <si>
    <t>The metric measures QR as a share of identifiable income streams, not total research resources or full economic cost.</t>
  </si>
  <si>
    <t>Changes may reflect both QR allocations and movements in external income.</t>
  </si>
  <si>
    <t>HEFCE 2014 report, Figure 9.3</t>
  </si>
  <si>
    <t>Source links</t>
  </si>
  <si>
    <t>Source</t>
  </si>
  <si>
    <t>Location</t>
  </si>
  <si>
    <t>Use</t>
  </si>
  <si>
    <t>2014 report</t>
  </si>
  <si>
    <t>/Users/benjohnson/dev/science/qrahss/2014_qrreview.pdf</t>
  </si>
  <si>
    <t>Attached source report</t>
  </si>
  <si>
    <t>RE 2019/20 detailed QR data</t>
  </si>
  <si>
    <t>https://www.ukri.org/publications/funding-allocations-2019-2020-quality-related-research-funding-data/</t>
  </si>
  <si>
    <t>Mainstream, London and RDP UOA workbooks</t>
  </si>
  <si>
    <t>RE 2023/24 provider tables</t>
  </si>
  <si>
    <t>https://www.ukri.org/publications/higher-education-provider-grant-data-tables-2023-to-2024/</t>
  </si>
  <si>
    <t>Provider and UOA allocations</t>
  </si>
  <si>
    <t>RE 2024/25 provider tables</t>
  </si>
  <si>
    <t>https://www.ukri.org/publications/higher-education-provider-grant-data-tables-2024-to-2025/</t>
  </si>
  <si>
    <t>Latest common-year QR allocations</t>
  </si>
  <si>
    <t>Local source inventory</t>
  </si>
  <si>
    <t>/Users/benjohnson/dev/science/qrahss/data_sources/UKRI_QR_download_manifest.md</t>
  </si>
  <si>
    <t>Downloaded workbooks and provenance</t>
  </si>
  <si>
    <t>QR control-total checks</t>
  </si>
  <si>
    <t>Calculated broad-discipline totals reconcile to the published QR component totals; tolerance is £2 for source rounding.</t>
  </si>
  <si>
    <t>Published/control QR (£)</t>
  </si>
  <si>
    <t>Calculated QR (£)</t>
  </si>
  <si>
    <t>Difference (£)</t>
  </si>
  <si>
    <t>Status</t>
  </si>
  <si>
    <t>Additional check</t>
  </si>
  <si>
    <t>Result</t>
  </si>
  <si>
    <t>Meaning</t>
  </si>
  <si>
    <t>2010/11 A&amp;H QR share</t>
  </si>
  <si>
    <t>Should round to the report's ‘around 70%’</t>
  </si>
  <si>
    <t>2010/11 component identity</t>
  </si>
  <si>
    <t>Mainstream share + other QR share = total QR share</t>
  </si>
  <si>
    <t>Reconstructed years</t>
  </si>
  <si>
    <t>2015/16–2018/19</t>
  </si>
  <si>
    <t>Latest common year</t>
  </si>
  <si>
    <t>Later QR years lack a matching HESA denominator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</si>
</sst>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1"/>
      <name val="Carlito"/>
    </font>
    <font>
      <b/>
      <sz val="16"/>
      <color rgb="FF17324D"/>
      <name val="Arial"/>
    </font>
    <font>
      <b/>
      <sz val="10"/>
      <color rgb="FFFFFFFF"/>
      <name val="Arial"/>
    </font>
    <font>
      <sz val="10"/>
      <color rgb="FF1F2933"/>
      <name val="Arial"/>
    </font>
    <font>
      <i/>
      <sz val="10"/>
      <color rgb="FF5B6573"/>
      <name val="Arial"/>
    </font>
    <font>
      <b/>
      <sz val="10"/>
      <color rgb="FF17324D"/>
      <name val="Arial"/>
    </font>
    <font>
      <b/>
      <sz val="14"/>
      <color rgb="FF17324D"/>
      <name val="Arial"/>
    </font>
    <font>
      <b/>
      <sz val="14"/>
      <color rgb="FF246B8E"/>
      <name val="Arial"/>
    </font>
    <font>
      <b/>
      <sz val="10"/>
      <color rgb="FF334155"/>
      <name val="Arial"/>
    </font>
    <font>
      <sz val="10"/>
      <color rgb="FF5B6573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FFF5D6"/>
      </patternFill>
    </fill>
    <fill>
      <patternFill patternType="solid">
        <fgColor rgb="FFEAF2F7"/>
      </patternFill>
    </fill>
  </fills>
  <borders count="7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B8C7D1"/>
      </left>
      <right/>
      <top style="thin">
        <color rgb="FFB8C7D1"/>
      </top>
      <bottom style="thin">
        <color rgb="FFB8C7D1"/>
      </bottom>
      <diagonal/>
    </border>
    <border>
      <left/>
      <right/>
      <top style="thin">
        <color rgb="FFB8C7D1"/>
      </top>
      <bottom style="thin">
        <color rgb="FFB8C7D1"/>
      </bottom>
      <diagonal/>
    </border>
    <border>
      <left/>
      <right style="thin">
        <color rgb="FFB8C7D1"/>
      </right>
      <top style="thin">
        <color rgb="FFB8C7D1"/>
      </top>
      <bottom style="thin">
        <color rgb="FFB8C7D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3" fillId="0" borderId="0" xfId="0" applyNumberFormat="1" applyFont="1" applyAlignment="1">
      <alignment vertical="center"/>
    </xf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164" fontId="3" fillId="0" borderId="0" xfId="0" applyNumberFormat="1" applyFont="1" applyAlignment="1">
      <alignment vertical="center"/>
    </xf>
    <xf numFmtId="164" fontId="3" fillId="3" borderId="0" xfId="0" applyNumberFormat="1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4" borderId="5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10" fontId="3" fillId="0" borderId="0" xfId="0" applyNumberFormat="1" applyFont="1" applyAlignment="1">
      <alignment vertical="center"/>
    </xf>
    <xf numFmtId="10" fontId="6" fillId="0" borderId="0" xfId="0" applyNumberFormat="1" applyFont="1" applyAlignment="1">
      <alignment vertical="center"/>
    </xf>
    <xf numFmtId="164" fontId="7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top" wrapText="1"/>
    </xf>
    <xf numFmtId="0" fontId="5" fillId="4" borderId="4" xfId="0" applyFont="1" applyFill="1" applyBorder="1"/>
    <xf numFmtId="0" fontId="5" fillId="4" borderId="5" xfId="0" applyFont="1" applyFill="1" applyBorder="1"/>
    <xf numFmtId="0" fontId="5" fillId="4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rPr lang="en-GB" sz="1200">
                <a:latin typeface="Arial"/>
                <a:ea typeface="Arial"/>
                <a:cs typeface="Arial"/>
              </a:rPr>
              <a:t>QR share of identifiable research funding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Arts and Humanities</c:v>
          </c:tx>
          <c:spPr>
            <a:ln w="28575">
              <a:solidFill>
                <a:srgbClr val="17324D"/>
              </a:solidFill>
              <a:prstDash val="solid"/>
            </a:ln>
          </c:spPr>
          <c:marker>
            <c:symbol val="none"/>
          </c:marker>
          <c:cat>
            <c:strRef>
              <c:f>Summary!$A$13:$A$27</c:f>
              <c:strCache>
                <c:ptCount val="15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  <c:pt idx="11">
                  <c:v>2021-22</c:v>
                </c:pt>
                <c:pt idx="12">
                  <c:v>2022-23</c:v>
                </c:pt>
                <c:pt idx="13">
                  <c:v>2023-24</c:v>
                </c:pt>
                <c:pt idx="14">
                  <c:v>2024-25</c:v>
                </c:pt>
              </c:strCache>
            </c:strRef>
          </c:cat>
          <c:val>
            <c:numRef>
              <c:f>Summary!$B$13:$B$27</c:f>
              <c:numCache>
                <c:formatCode>0.0%</c:formatCode>
                <c:ptCount val="15"/>
                <c:pt idx="0">
                  <c:v>0.68197137898216098</c:v>
                </c:pt>
                <c:pt idx="1">
                  <c:v>0.66679858495603572</c:v>
                </c:pt>
                <c:pt idx="2">
                  <c:v>0.64229371564168036</c:v>
                </c:pt>
                <c:pt idx="3">
                  <c:v>0.62039759207603573</c:v>
                </c:pt>
                <c:pt idx="4">
                  <c:v>0.60573035075851478</c:v>
                </c:pt>
                <c:pt idx="5">
                  <c:v>0.58193226344183346</c:v>
                </c:pt>
                <c:pt idx="6">
                  <c:v>0.56228824832054214</c:v>
                </c:pt>
                <c:pt idx="7">
                  <c:v>0.54355225959674558</c:v>
                </c:pt>
                <c:pt idx="8">
                  <c:v>0.53440237794892098</c:v>
                </c:pt>
                <c:pt idx="9">
                  <c:v>0.5439086237442029</c:v>
                </c:pt>
                <c:pt idx="10">
                  <c:v>0.54033784848299327</c:v>
                </c:pt>
                <c:pt idx="11">
                  <c:v>0.5173946491251511</c:v>
                </c:pt>
                <c:pt idx="12">
                  <c:v>0.55398431014410865</c:v>
                </c:pt>
                <c:pt idx="13">
                  <c:v>0.56861029552206477</c:v>
                </c:pt>
                <c:pt idx="14">
                  <c:v>0.57297571337554409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36-AB4D-9561-161FDFFD8C1B}"/>
            </c:ext>
          </c:extLst>
        </c:ser>
        <c:ser>
          <c:idx val="1"/>
          <c:order val="1"/>
          <c:tx>
            <c:v>Social Sciences</c:v>
          </c:tx>
          <c:spPr>
            <a:ln w="19050">
              <a:solidFill>
                <a:srgbClr val="246B8E"/>
              </a:solidFill>
              <a:prstDash val="solid"/>
            </a:ln>
          </c:spPr>
          <c:marker>
            <c:symbol val="none"/>
          </c:marker>
          <c:cat>
            <c:strRef>
              <c:f>Summary!$A$13:$A$27</c:f>
              <c:strCache>
                <c:ptCount val="15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  <c:pt idx="11">
                  <c:v>2021-22</c:v>
                </c:pt>
                <c:pt idx="12">
                  <c:v>2022-23</c:v>
                </c:pt>
                <c:pt idx="13">
                  <c:v>2023-24</c:v>
                </c:pt>
                <c:pt idx="14">
                  <c:v>2024-25</c:v>
                </c:pt>
              </c:strCache>
            </c:strRef>
          </c:cat>
          <c:val>
            <c:numRef>
              <c:f>Summary!$C$13:$C$27</c:f>
              <c:numCache>
                <c:formatCode>0.0%</c:formatCode>
                <c:ptCount val="15"/>
                <c:pt idx="0">
                  <c:v>0.46765445040884596</c:v>
                </c:pt>
                <c:pt idx="1">
                  <c:v>0.47329607569374194</c:v>
                </c:pt>
                <c:pt idx="2">
                  <c:v>0.45701973908149313</c:v>
                </c:pt>
                <c:pt idx="3">
                  <c:v>0.44330224354499559</c:v>
                </c:pt>
                <c:pt idx="4">
                  <c:v>0.43299680159633586</c:v>
                </c:pt>
                <c:pt idx="5">
                  <c:v>0.42625390770595956</c:v>
                </c:pt>
                <c:pt idx="6">
                  <c:v>0.40999069794839393</c:v>
                </c:pt>
                <c:pt idx="7">
                  <c:v>0.39722678686463908</c:v>
                </c:pt>
                <c:pt idx="8">
                  <c:v>0.3940599459682213</c:v>
                </c:pt>
                <c:pt idx="9">
                  <c:v>0.40423283031110474</c:v>
                </c:pt>
                <c:pt idx="10">
                  <c:v>0.38024564290894231</c:v>
                </c:pt>
                <c:pt idx="11">
                  <c:v>0.35590549510372427</c:v>
                </c:pt>
                <c:pt idx="12">
                  <c:v>0.36924291243936008</c:v>
                </c:pt>
                <c:pt idx="13">
                  <c:v>0.36282008778338354</c:v>
                </c:pt>
                <c:pt idx="14">
                  <c:v>0.36074990348178854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36-AB4D-9561-161FDFFD8C1B}"/>
            </c:ext>
          </c:extLst>
        </c:ser>
        <c:ser>
          <c:idx val="2"/>
          <c:order val="2"/>
          <c:tx>
            <c:v>STEM</c:v>
          </c:tx>
          <c:spPr>
            <a:ln w="19050">
              <a:solidFill>
                <a:srgbClr val="2A9D8F"/>
              </a:solidFill>
              <a:prstDash val="solid"/>
            </a:ln>
          </c:spPr>
          <c:marker>
            <c:symbol val="none"/>
          </c:marker>
          <c:cat>
            <c:strRef>
              <c:f>Summary!$A$13:$A$27</c:f>
              <c:strCache>
                <c:ptCount val="15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  <c:pt idx="11">
                  <c:v>2021-22</c:v>
                </c:pt>
                <c:pt idx="12">
                  <c:v>2022-23</c:v>
                </c:pt>
                <c:pt idx="13">
                  <c:v>2023-24</c:v>
                </c:pt>
                <c:pt idx="14">
                  <c:v>2024-25</c:v>
                </c:pt>
              </c:strCache>
            </c:strRef>
          </c:cat>
          <c:val>
            <c:numRef>
              <c:f>Summary!$D$13:$D$27</c:f>
              <c:numCache>
                <c:formatCode>0.0%</c:formatCode>
                <c:ptCount val="15"/>
                <c:pt idx="0">
                  <c:v>0.2922599523333515</c:v>
                </c:pt>
                <c:pt idx="1">
                  <c:v>0.28079506294084511</c:v>
                </c:pt>
                <c:pt idx="2">
                  <c:v>0.2738479329930259</c:v>
                </c:pt>
                <c:pt idx="3">
                  <c:v>0.25703084637729345</c:v>
                </c:pt>
                <c:pt idx="4">
                  <c:v>0.2391123080503175</c:v>
                </c:pt>
                <c:pt idx="5">
                  <c:v>0.22672966607989925</c:v>
                </c:pt>
                <c:pt idx="6">
                  <c:v>0.22200550662569998</c:v>
                </c:pt>
                <c:pt idx="7">
                  <c:v>0.21046651239982134</c:v>
                </c:pt>
                <c:pt idx="8">
                  <c:v>0.20302238739336123</c:v>
                </c:pt>
                <c:pt idx="9">
                  <c:v>0.21721999191522814</c:v>
                </c:pt>
                <c:pt idx="10">
                  <c:v>0.21531689567319834</c:v>
                </c:pt>
                <c:pt idx="11">
                  <c:v>0.20938348043776542</c:v>
                </c:pt>
                <c:pt idx="12">
                  <c:v>0.23565823483209961</c:v>
                </c:pt>
                <c:pt idx="13">
                  <c:v>0.22167466190883917</c:v>
                </c:pt>
                <c:pt idx="14">
                  <c:v>0.21755280404195401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36-AB4D-9561-161FDFFD8C1B}"/>
            </c:ext>
          </c:extLst>
        </c:ser>
        <c:ser>
          <c:idx val="3"/>
          <c:order val="3"/>
          <c:tx>
            <c:v>Health</c:v>
          </c:tx>
          <c:spPr>
            <a:ln w="19050">
              <a:solidFill>
                <a:srgbClr val="E9C46A"/>
              </a:solidFill>
              <a:prstDash val="solid"/>
            </a:ln>
          </c:spPr>
          <c:marker>
            <c:symbol val="none"/>
          </c:marker>
          <c:cat>
            <c:strRef>
              <c:f>Summary!$A$13:$A$27</c:f>
              <c:strCache>
                <c:ptCount val="15"/>
                <c:pt idx="0">
                  <c:v>2010-11</c:v>
                </c:pt>
                <c:pt idx="1">
                  <c:v>2011-12</c:v>
                </c:pt>
                <c:pt idx="2">
                  <c:v>2012-13</c:v>
                </c:pt>
                <c:pt idx="3">
                  <c:v>2013-14</c:v>
                </c:pt>
                <c:pt idx="4">
                  <c:v>2014-15</c:v>
                </c:pt>
                <c:pt idx="5">
                  <c:v>2015-16</c:v>
                </c:pt>
                <c:pt idx="6">
                  <c:v>2016-17</c:v>
                </c:pt>
                <c:pt idx="7">
                  <c:v>2017-18</c:v>
                </c:pt>
                <c:pt idx="8">
                  <c:v>2018-19</c:v>
                </c:pt>
                <c:pt idx="9">
                  <c:v>2019-20</c:v>
                </c:pt>
                <c:pt idx="10">
                  <c:v>2020-21</c:v>
                </c:pt>
                <c:pt idx="11">
                  <c:v>2021-22</c:v>
                </c:pt>
                <c:pt idx="12">
                  <c:v>2022-23</c:v>
                </c:pt>
                <c:pt idx="13">
                  <c:v>2023-24</c:v>
                </c:pt>
                <c:pt idx="14">
                  <c:v>2024-25</c:v>
                </c:pt>
              </c:strCache>
            </c:strRef>
          </c:cat>
          <c:val>
            <c:numRef>
              <c:f>Summary!$E$13:$E$27</c:f>
              <c:numCache>
                <c:formatCode>0.0%</c:formatCode>
                <c:ptCount val="15"/>
                <c:pt idx="0">
                  <c:v>0.23069118111479331</c:v>
                </c:pt>
                <c:pt idx="1">
                  <c:v>0.22161664173403223</c:v>
                </c:pt>
                <c:pt idx="2">
                  <c:v>0.20993336815069616</c:v>
                </c:pt>
                <c:pt idx="3">
                  <c:v>0.20433283141547517</c:v>
                </c:pt>
                <c:pt idx="4">
                  <c:v>0.18894825732416576</c:v>
                </c:pt>
                <c:pt idx="5">
                  <c:v>0.1878774785764542</c:v>
                </c:pt>
                <c:pt idx="6">
                  <c:v>0.1895414536889678</c:v>
                </c:pt>
                <c:pt idx="7">
                  <c:v>0.18401229619509654</c:v>
                </c:pt>
                <c:pt idx="8">
                  <c:v>0.18027328907291962</c:v>
                </c:pt>
                <c:pt idx="9">
                  <c:v>0.18932586134060644</c:v>
                </c:pt>
                <c:pt idx="10">
                  <c:v>0.1850129653758725</c:v>
                </c:pt>
                <c:pt idx="11">
                  <c:v>0.16994444798661068</c:v>
                </c:pt>
                <c:pt idx="12">
                  <c:v>0.19275923716891499</c:v>
                </c:pt>
                <c:pt idx="13">
                  <c:v>0.1945365559243889</c:v>
                </c:pt>
                <c:pt idx="14">
                  <c:v>0.20115964697342006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336-AB4D-9561-161FDFFD8C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9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1000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 sz="1000"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0</xdr:colOff>
      <xdr:row>32</xdr:row>
      <xdr:rowOff>25400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63"/>
  <sheetViews>
    <sheetView topLeftCell="A35" workbookViewId="0"/>
  </sheetViews>
  <sheetFormatPr baseColWidth="10" defaultColWidth="8.83203125" defaultRowHeight="15"/>
  <cols>
    <col min="1" max="1" width="13" customWidth="1"/>
    <col min="2" max="2" width="22" customWidth="1"/>
    <col min="3" max="14" width="16" customWidth="1"/>
  </cols>
  <sheetData>
    <row r="2" spans="1:14" ht="20">
      <c r="A2" s="1" t="s">
        <v>0</v>
      </c>
    </row>
    <row r="3" spans="1:14" ht="24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4" t="s">
        <v>14</v>
      </c>
    </row>
    <row r="4" spans="1:14" ht="24" customHeight="1">
      <c r="A4" s="5" t="s">
        <v>15</v>
      </c>
      <c r="B4" s="5" t="s">
        <v>16</v>
      </c>
      <c r="C4" s="6">
        <v>172953776</v>
      </c>
      <c r="D4" s="6">
        <v>4991023</v>
      </c>
      <c r="E4" s="6">
        <v>30137431</v>
      </c>
      <c r="F4" s="6">
        <v>6085230</v>
      </c>
      <c r="G4" s="6">
        <v>1609880.3867028346</v>
      </c>
      <c r="H4" s="6">
        <f t="shared" ref="H4:H35" si="0">SUM(C4:G4)</f>
        <v>215777340.38670284</v>
      </c>
      <c r="I4" s="6">
        <v>49585000</v>
      </c>
      <c r="J4" s="6">
        <v>20057000</v>
      </c>
      <c r="K4" s="6">
        <v>7067000</v>
      </c>
      <c r="L4" s="6">
        <v>5196000</v>
      </c>
      <c r="M4" s="6">
        <v>18720000</v>
      </c>
      <c r="N4" s="6">
        <f t="shared" ref="N4:N35" si="1">SUM(H4:M4)</f>
        <v>316402340.38670284</v>
      </c>
    </row>
    <row r="5" spans="1:14" ht="24" customHeight="1">
      <c r="A5" s="5" t="s">
        <v>15</v>
      </c>
      <c r="B5" s="5" t="s">
        <v>17</v>
      </c>
      <c r="C5" s="6">
        <v>200714277</v>
      </c>
      <c r="D5" s="6">
        <v>5884279</v>
      </c>
      <c r="E5" s="6">
        <v>40488742</v>
      </c>
      <c r="F5" s="6">
        <v>9552288</v>
      </c>
      <c r="G5" s="6">
        <v>6468424.6198345395</v>
      </c>
      <c r="H5" s="6">
        <f t="shared" si="0"/>
        <v>263108010.61983454</v>
      </c>
      <c r="I5" s="6">
        <v>103473000</v>
      </c>
      <c r="J5" s="6">
        <v>28833000</v>
      </c>
      <c r="K5" s="6">
        <v>80087000</v>
      </c>
      <c r="L5" s="6">
        <v>22782000</v>
      </c>
      <c r="M5" s="6">
        <v>64329000</v>
      </c>
      <c r="N5" s="6">
        <f t="shared" si="1"/>
        <v>562612010.61983454</v>
      </c>
    </row>
    <row r="6" spans="1:14" ht="24" customHeight="1">
      <c r="A6" s="5" t="s">
        <v>15</v>
      </c>
      <c r="B6" s="5" t="s">
        <v>18</v>
      </c>
      <c r="C6" s="6">
        <v>486959641</v>
      </c>
      <c r="D6" s="6">
        <v>10686038</v>
      </c>
      <c r="E6" s="6">
        <v>92858256</v>
      </c>
      <c r="F6" s="6">
        <v>38812237</v>
      </c>
      <c r="G6" s="6">
        <v>39712708.893497027</v>
      </c>
      <c r="H6" s="6">
        <f t="shared" si="0"/>
        <v>669028880.89349699</v>
      </c>
      <c r="I6" s="6">
        <v>803255000</v>
      </c>
      <c r="J6" s="6">
        <v>191784000</v>
      </c>
      <c r="K6" s="6">
        <v>164676000</v>
      </c>
      <c r="L6" s="6">
        <v>143992000</v>
      </c>
      <c r="M6" s="6">
        <v>316421000</v>
      </c>
      <c r="N6" s="6">
        <f t="shared" si="1"/>
        <v>2289156880.893497</v>
      </c>
    </row>
    <row r="7" spans="1:14" ht="24" customHeight="1">
      <c r="A7" s="5" t="s">
        <v>15</v>
      </c>
      <c r="B7" s="5" t="s">
        <v>19</v>
      </c>
      <c r="C7" s="6">
        <v>236140341</v>
      </c>
      <c r="D7" s="6">
        <v>11828912</v>
      </c>
      <c r="E7" s="6">
        <v>41711987</v>
      </c>
      <c r="F7" s="6">
        <v>143072213</v>
      </c>
      <c r="G7" s="6">
        <v>15878026.099965587</v>
      </c>
      <c r="H7" s="6">
        <f t="shared" si="0"/>
        <v>448631479.09996557</v>
      </c>
      <c r="I7" s="6">
        <v>283570000</v>
      </c>
      <c r="J7" s="6">
        <v>519771000</v>
      </c>
      <c r="K7" s="6">
        <v>374729000</v>
      </c>
      <c r="L7" s="6">
        <v>56695000</v>
      </c>
      <c r="M7" s="6">
        <v>261331000</v>
      </c>
      <c r="N7" s="6">
        <f t="shared" si="1"/>
        <v>1944727479.0999656</v>
      </c>
    </row>
    <row r="8" spans="1:14" ht="24" customHeight="1">
      <c r="A8" s="5" t="s">
        <v>20</v>
      </c>
      <c r="B8" s="5" t="s">
        <v>16</v>
      </c>
      <c r="C8" s="6">
        <v>166110726</v>
      </c>
      <c r="D8" s="6">
        <v>4836022</v>
      </c>
      <c r="E8" s="6">
        <v>30341178</v>
      </c>
      <c r="F8" s="6">
        <v>6148161</v>
      </c>
      <c r="G8" s="6">
        <v>1163720.0850818688</v>
      </c>
      <c r="H8" s="6">
        <f t="shared" si="0"/>
        <v>208599807.08508188</v>
      </c>
      <c r="I8" s="6">
        <v>46684000</v>
      </c>
      <c r="J8" s="6">
        <v>21036000</v>
      </c>
      <c r="K8" s="6">
        <v>5857000</v>
      </c>
      <c r="L8" s="6">
        <v>4714000</v>
      </c>
      <c r="M8" s="6">
        <v>25947000</v>
      </c>
      <c r="N8" s="6">
        <f t="shared" si="1"/>
        <v>312837807.08508188</v>
      </c>
    </row>
    <row r="9" spans="1:14" ht="24" customHeight="1">
      <c r="A9" s="5" t="s">
        <v>20</v>
      </c>
      <c r="B9" s="5" t="s">
        <v>17</v>
      </c>
      <c r="C9" s="6">
        <v>192660106</v>
      </c>
      <c r="D9" s="6">
        <v>5733347</v>
      </c>
      <c r="E9" s="6">
        <v>40622333</v>
      </c>
      <c r="F9" s="6">
        <v>9340163</v>
      </c>
      <c r="G9" s="6">
        <v>4646640.4134792229</v>
      </c>
      <c r="H9" s="6">
        <f t="shared" si="0"/>
        <v>253002589.41347921</v>
      </c>
      <c r="I9" s="6">
        <v>97292000</v>
      </c>
      <c r="J9" s="6">
        <v>26942000</v>
      </c>
      <c r="K9" s="6">
        <v>67338000</v>
      </c>
      <c r="L9" s="6">
        <v>21931000</v>
      </c>
      <c r="M9" s="6">
        <v>68049000</v>
      </c>
      <c r="N9" s="6">
        <f t="shared" si="1"/>
        <v>534554589.41347921</v>
      </c>
    </row>
    <row r="10" spans="1:14" ht="24" customHeight="1">
      <c r="A10" s="5" t="s">
        <v>20</v>
      </c>
      <c r="B10" s="5" t="s">
        <v>18</v>
      </c>
      <c r="C10" s="6">
        <v>466947826</v>
      </c>
      <c r="D10" s="6">
        <v>10280145</v>
      </c>
      <c r="E10" s="6">
        <v>92313665</v>
      </c>
      <c r="F10" s="6">
        <v>39072118</v>
      </c>
      <c r="G10" s="6">
        <v>37800388.477018841</v>
      </c>
      <c r="H10" s="6">
        <f t="shared" si="0"/>
        <v>646414142.47701883</v>
      </c>
      <c r="I10" s="6">
        <v>780004000</v>
      </c>
      <c r="J10" s="6">
        <v>204128000</v>
      </c>
      <c r="K10" s="6">
        <v>146708000</v>
      </c>
      <c r="L10" s="6">
        <v>146777000</v>
      </c>
      <c r="M10" s="6">
        <v>378054000</v>
      </c>
      <c r="N10" s="6">
        <f t="shared" si="1"/>
        <v>2302085142.4770188</v>
      </c>
    </row>
    <row r="11" spans="1:14" ht="24" customHeight="1">
      <c r="A11" s="5" t="s">
        <v>20</v>
      </c>
      <c r="B11" s="5" t="s">
        <v>19</v>
      </c>
      <c r="C11" s="6">
        <v>227056158</v>
      </c>
      <c r="D11" s="6">
        <v>11533967</v>
      </c>
      <c r="E11" s="6">
        <v>41919250</v>
      </c>
      <c r="F11" s="6">
        <v>142961516</v>
      </c>
      <c r="G11" s="6">
        <v>20058291.024420071</v>
      </c>
      <c r="H11" s="6">
        <f t="shared" si="0"/>
        <v>443529182.02442008</v>
      </c>
      <c r="I11" s="6">
        <v>272355000</v>
      </c>
      <c r="J11" s="6">
        <v>526011000</v>
      </c>
      <c r="K11" s="6">
        <v>412512000</v>
      </c>
      <c r="L11" s="6">
        <v>56478000</v>
      </c>
      <c r="M11" s="6">
        <v>290450000</v>
      </c>
      <c r="N11" s="6">
        <f t="shared" si="1"/>
        <v>2001335182.02442</v>
      </c>
    </row>
    <row r="12" spans="1:14" ht="24" customHeight="1">
      <c r="A12" s="5" t="s">
        <v>21</v>
      </c>
      <c r="B12" s="5" t="s">
        <v>16</v>
      </c>
      <c r="C12" s="6">
        <v>158386043</v>
      </c>
      <c r="D12" s="6">
        <v>4652637</v>
      </c>
      <c r="E12" s="6">
        <v>35087629</v>
      </c>
      <c r="F12" s="6">
        <v>5411357.7144351332</v>
      </c>
      <c r="G12" s="6">
        <v>852511.91753935686</v>
      </c>
      <c r="H12" s="6">
        <f t="shared" si="0"/>
        <v>204390178.63197449</v>
      </c>
      <c r="I12" s="6">
        <v>50827000</v>
      </c>
      <c r="J12" s="6">
        <v>21211000</v>
      </c>
      <c r="K12" s="6">
        <v>4597000</v>
      </c>
      <c r="L12" s="6">
        <v>4681000</v>
      </c>
      <c r="M12" s="6">
        <v>32513000</v>
      </c>
      <c r="N12" s="6">
        <f t="shared" si="1"/>
        <v>318219178.63197446</v>
      </c>
    </row>
    <row r="13" spans="1:14" ht="24" customHeight="1">
      <c r="A13" s="5" t="s">
        <v>21</v>
      </c>
      <c r="B13" s="5" t="s">
        <v>17</v>
      </c>
      <c r="C13" s="6">
        <v>178639170</v>
      </c>
      <c r="D13" s="6">
        <v>5369082</v>
      </c>
      <c r="E13" s="6">
        <v>44460471</v>
      </c>
      <c r="F13" s="6">
        <v>6692490.2176406719</v>
      </c>
      <c r="G13" s="6">
        <v>4369603.6241298625</v>
      </c>
      <c r="H13" s="6">
        <f t="shared" si="0"/>
        <v>239530816.84177053</v>
      </c>
      <c r="I13" s="6">
        <v>93344000</v>
      </c>
      <c r="J13" s="6">
        <v>27327000</v>
      </c>
      <c r="K13" s="6">
        <v>61308000</v>
      </c>
      <c r="L13" s="6">
        <v>21287000</v>
      </c>
      <c r="M13" s="6">
        <v>81318000</v>
      </c>
      <c r="N13" s="6">
        <f t="shared" si="1"/>
        <v>524114816.84177053</v>
      </c>
    </row>
    <row r="14" spans="1:14" ht="24" customHeight="1">
      <c r="A14" s="5" t="s">
        <v>21</v>
      </c>
      <c r="B14" s="5" t="s">
        <v>18</v>
      </c>
      <c r="C14" s="6">
        <v>456166539</v>
      </c>
      <c r="D14" s="6">
        <v>10061481</v>
      </c>
      <c r="E14" s="6">
        <v>111829094</v>
      </c>
      <c r="F14" s="6">
        <v>50358082.03526777</v>
      </c>
      <c r="G14" s="6">
        <v>38173238.219006516</v>
      </c>
      <c r="H14" s="6">
        <f t="shared" si="0"/>
        <v>666588434.25427437</v>
      </c>
      <c r="I14" s="6">
        <v>798706000</v>
      </c>
      <c r="J14" s="6">
        <v>211375000</v>
      </c>
      <c r="K14" s="6">
        <v>152998000</v>
      </c>
      <c r="L14" s="6">
        <v>153221000</v>
      </c>
      <c r="M14" s="6">
        <v>451267000</v>
      </c>
      <c r="N14" s="6">
        <f t="shared" si="1"/>
        <v>2434155434.2542744</v>
      </c>
    </row>
    <row r="15" spans="1:14" ht="24" customHeight="1">
      <c r="A15" s="5" t="s">
        <v>21</v>
      </c>
      <c r="B15" s="5" t="s">
        <v>19</v>
      </c>
      <c r="C15" s="6">
        <v>225303226</v>
      </c>
      <c r="D15" s="6">
        <v>11580109</v>
      </c>
      <c r="E15" s="6">
        <v>48819214</v>
      </c>
      <c r="F15" s="6">
        <v>135060033.03265637</v>
      </c>
      <c r="G15" s="6">
        <v>20273680.239324283</v>
      </c>
      <c r="H15" s="6">
        <f t="shared" si="0"/>
        <v>441036262.27198064</v>
      </c>
      <c r="I15" s="6">
        <v>279323000</v>
      </c>
      <c r="J15" s="6">
        <v>553423000</v>
      </c>
      <c r="K15" s="6">
        <v>445440000</v>
      </c>
      <c r="L15" s="6">
        <v>56623000</v>
      </c>
      <c r="M15" s="6">
        <v>324994000</v>
      </c>
      <c r="N15" s="6">
        <f t="shared" si="1"/>
        <v>2100839262.2719808</v>
      </c>
    </row>
    <row r="16" spans="1:14" ht="24" customHeight="1">
      <c r="A16" s="5" t="s">
        <v>22</v>
      </c>
      <c r="B16" s="5" t="s">
        <v>16</v>
      </c>
      <c r="C16" s="6">
        <v>158386043</v>
      </c>
      <c r="D16" s="6">
        <v>4652637</v>
      </c>
      <c r="E16" s="6">
        <v>35483439</v>
      </c>
      <c r="F16" s="6">
        <v>5516034.0328742508</v>
      </c>
      <c r="G16" s="6">
        <v>1185322.9272469818</v>
      </c>
      <c r="H16" s="6">
        <f t="shared" si="0"/>
        <v>205223475.96012124</v>
      </c>
      <c r="I16" s="6">
        <v>53313000</v>
      </c>
      <c r="J16" s="6">
        <v>21364000</v>
      </c>
      <c r="K16" s="6">
        <v>5512000</v>
      </c>
      <c r="L16" s="6">
        <v>4956000</v>
      </c>
      <c r="M16" s="6">
        <v>40425000</v>
      </c>
      <c r="N16" s="6">
        <f t="shared" si="1"/>
        <v>330793475.96012127</v>
      </c>
    </row>
    <row r="17" spans="1:14" ht="24" customHeight="1">
      <c r="A17" s="5" t="s">
        <v>22</v>
      </c>
      <c r="B17" s="5" t="s">
        <v>17</v>
      </c>
      <c r="C17" s="6">
        <v>178639170</v>
      </c>
      <c r="D17" s="6">
        <v>5369082</v>
      </c>
      <c r="E17" s="6">
        <v>43602264</v>
      </c>
      <c r="F17" s="6">
        <v>6879522.8867408149</v>
      </c>
      <c r="G17" s="6">
        <v>4293721.9907305781</v>
      </c>
      <c r="H17" s="6">
        <f t="shared" si="0"/>
        <v>238783760.87747139</v>
      </c>
      <c r="I17" s="6">
        <v>104514000</v>
      </c>
      <c r="J17" s="6">
        <v>27193000</v>
      </c>
      <c r="K17" s="6">
        <v>55731000</v>
      </c>
      <c r="L17" s="6">
        <v>19678000</v>
      </c>
      <c r="M17" s="6">
        <v>92748000</v>
      </c>
      <c r="N17" s="6">
        <f t="shared" si="1"/>
        <v>538647760.87747145</v>
      </c>
    </row>
    <row r="18" spans="1:14" ht="24" customHeight="1">
      <c r="A18" s="5" t="s">
        <v>22</v>
      </c>
      <c r="B18" s="5" t="s">
        <v>18</v>
      </c>
      <c r="C18" s="6">
        <v>456166539</v>
      </c>
      <c r="D18" s="6">
        <v>10061481</v>
      </c>
      <c r="E18" s="6">
        <v>112067910</v>
      </c>
      <c r="F18" s="6">
        <v>49986823.463838056</v>
      </c>
      <c r="G18" s="6">
        <v>37586584.695482232</v>
      </c>
      <c r="H18" s="6">
        <f t="shared" si="0"/>
        <v>665869338.15932035</v>
      </c>
      <c r="I18" s="6">
        <v>849722000</v>
      </c>
      <c r="J18" s="6">
        <v>212108000</v>
      </c>
      <c r="K18" s="6">
        <v>176413000</v>
      </c>
      <c r="L18" s="6">
        <v>161997000</v>
      </c>
      <c r="M18" s="6">
        <v>524511000</v>
      </c>
      <c r="N18" s="6">
        <f t="shared" si="1"/>
        <v>2590620338.1593204</v>
      </c>
    </row>
    <row r="19" spans="1:14" ht="24" customHeight="1">
      <c r="A19" s="5" t="s">
        <v>22</v>
      </c>
      <c r="B19" s="5" t="s">
        <v>19</v>
      </c>
      <c r="C19" s="6">
        <v>225303224</v>
      </c>
      <c r="D19" s="6">
        <v>11580109</v>
      </c>
      <c r="E19" s="6">
        <v>49042785</v>
      </c>
      <c r="F19" s="6">
        <v>135139585.61654687</v>
      </c>
      <c r="G19" s="6">
        <v>20603413.386540212</v>
      </c>
      <c r="H19" s="6">
        <f t="shared" si="0"/>
        <v>441669117.0030871</v>
      </c>
      <c r="I19" s="6">
        <v>320234000</v>
      </c>
      <c r="J19" s="6">
        <v>563179000</v>
      </c>
      <c r="K19" s="6">
        <v>449515000</v>
      </c>
      <c r="L19" s="6">
        <v>70518000</v>
      </c>
      <c r="M19" s="6">
        <v>316403000</v>
      </c>
      <c r="N19" s="6">
        <f t="shared" si="1"/>
        <v>2161518117.003087</v>
      </c>
    </row>
    <row r="20" spans="1:14" ht="24" customHeight="1">
      <c r="A20" s="5" t="s">
        <v>23</v>
      </c>
      <c r="B20" s="5" t="s">
        <v>16</v>
      </c>
      <c r="C20" s="6">
        <v>158386043</v>
      </c>
      <c r="D20" s="6">
        <v>4652637</v>
      </c>
      <c r="E20" s="6">
        <v>34693327</v>
      </c>
      <c r="F20" s="6">
        <v>5539214.1177857192</v>
      </c>
      <c r="G20" s="6">
        <v>1259551.2134600182</v>
      </c>
      <c r="H20" s="6">
        <f t="shared" si="0"/>
        <v>204530772.33124575</v>
      </c>
      <c r="I20" s="6">
        <v>54342000</v>
      </c>
      <c r="J20" s="6">
        <v>23304000</v>
      </c>
      <c r="K20" s="6">
        <v>5172000</v>
      </c>
      <c r="L20" s="6">
        <v>5912000</v>
      </c>
      <c r="M20" s="6">
        <v>44399000</v>
      </c>
      <c r="N20" s="6">
        <f t="shared" si="1"/>
        <v>337659772.33124578</v>
      </c>
    </row>
    <row r="21" spans="1:14" ht="24" customHeight="1">
      <c r="A21" s="5" t="s">
        <v>23</v>
      </c>
      <c r="B21" s="5" t="s">
        <v>17</v>
      </c>
      <c r="C21" s="6">
        <v>178639170</v>
      </c>
      <c r="D21" s="6">
        <v>5369082</v>
      </c>
      <c r="E21" s="6">
        <v>42975324</v>
      </c>
      <c r="F21" s="6">
        <v>8139606.4753424637</v>
      </c>
      <c r="G21" s="6">
        <v>3363543.0585392187</v>
      </c>
      <c r="H21" s="6">
        <f t="shared" si="0"/>
        <v>238486725.53388166</v>
      </c>
      <c r="I21" s="6">
        <v>104815000</v>
      </c>
      <c r="J21" s="6">
        <v>34070000</v>
      </c>
      <c r="K21" s="6">
        <v>55365000</v>
      </c>
      <c r="L21" s="6">
        <v>19163000</v>
      </c>
      <c r="M21" s="6">
        <v>98882000</v>
      </c>
      <c r="N21" s="6">
        <f t="shared" si="1"/>
        <v>550781725.53388166</v>
      </c>
    </row>
    <row r="22" spans="1:14" ht="24" customHeight="1">
      <c r="A22" s="5" t="s">
        <v>23</v>
      </c>
      <c r="B22" s="5" t="s">
        <v>18</v>
      </c>
      <c r="C22" s="6">
        <v>456124415</v>
      </c>
      <c r="D22" s="6">
        <v>10056426</v>
      </c>
      <c r="E22" s="6">
        <v>113041839</v>
      </c>
      <c r="F22" s="6">
        <v>51878008.739634499</v>
      </c>
      <c r="G22" s="6">
        <v>37130818.425739609</v>
      </c>
      <c r="H22" s="6">
        <f t="shared" si="0"/>
        <v>668231507.16537416</v>
      </c>
      <c r="I22" s="6">
        <v>926751000</v>
      </c>
      <c r="J22" s="6">
        <v>212010000</v>
      </c>
      <c r="K22" s="6">
        <v>264385000</v>
      </c>
      <c r="L22" s="6">
        <v>181898000</v>
      </c>
      <c r="M22" s="6">
        <v>541359000</v>
      </c>
      <c r="N22" s="6">
        <f t="shared" si="1"/>
        <v>2794634507.1653743</v>
      </c>
    </row>
    <row r="23" spans="1:14" ht="24" customHeight="1">
      <c r="A23" s="5" t="s">
        <v>23</v>
      </c>
      <c r="B23" s="5" t="s">
        <v>19</v>
      </c>
      <c r="C23" s="6">
        <v>225303224</v>
      </c>
      <c r="D23" s="6">
        <v>11580109</v>
      </c>
      <c r="E23" s="6">
        <v>49485937</v>
      </c>
      <c r="F23" s="6">
        <v>131965144.66723733</v>
      </c>
      <c r="G23" s="6">
        <v>21915127.302261166</v>
      </c>
      <c r="H23" s="6">
        <f t="shared" si="0"/>
        <v>440249541.96949852</v>
      </c>
      <c r="I23" s="6">
        <v>357786000</v>
      </c>
      <c r="J23" s="6">
        <v>589526000</v>
      </c>
      <c r="K23" s="6">
        <v>522401000</v>
      </c>
      <c r="L23" s="6">
        <v>73163000</v>
      </c>
      <c r="M23" s="6">
        <v>346875000</v>
      </c>
      <c r="N23" s="6">
        <f t="shared" si="1"/>
        <v>2330000541.9694986</v>
      </c>
    </row>
    <row r="24" spans="1:14" ht="24" customHeight="1">
      <c r="A24" s="7" t="s">
        <v>24</v>
      </c>
      <c r="B24" s="7" t="s">
        <v>16</v>
      </c>
      <c r="C24" s="8">
        <v>157284657.19643337</v>
      </c>
      <c r="D24" s="8">
        <v>4532571.0354116252</v>
      </c>
      <c r="E24" s="8">
        <v>27530904.755117968</v>
      </c>
      <c r="F24" s="8">
        <v>5360130.7344239959</v>
      </c>
      <c r="G24" s="8">
        <v>903437.03969962534</v>
      </c>
      <c r="H24" s="8">
        <f t="shared" si="0"/>
        <v>195611700.76108658</v>
      </c>
      <c r="I24" s="8">
        <v>56100000</v>
      </c>
      <c r="J24" s="8">
        <v>25316000</v>
      </c>
      <c r="K24" s="8">
        <v>5800000</v>
      </c>
      <c r="L24" s="8">
        <v>5684000</v>
      </c>
      <c r="M24" s="8">
        <v>47630000</v>
      </c>
      <c r="N24" s="8">
        <f t="shared" si="1"/>
        <v>336141700.76108658</v>
      </c>
    </row>
    <row r="25" spans="1:14" ht="24" customHeight="1">
      <c r="A25" s="7" t="s">
        <v>24</v>
      </c>
      <c r="B25" s="7" t="s">
        <v>17</v>
      </c>
      <c r="C25" s="8">
        <v>192059894.01373878</v>
      </c>
      <c r="D25" s="8">
        <v>5917439.2367443442</v>
      </c>
      <c r="E25" s="8">
        <v>33115569.841818117</v>
      </c>
      <c r="F25" s="8">
        <v>7471637.261798677</v>
      </c>
      <c r="G25" s="8">
        <v>3687513.4305149112</v>
      </c>
      <c r="H25" s="8">
        <f t="shared" si="0"/>
        <v>242252053.78461483</v>
      </c>
      <c r="I25" s="8">
        <v>106979000</v>
      </c>
      <c r="J25" s="8">
        <v>36485000</v>
      </c>
      <c r="K25" s="8">
        <v>63304000</v>
      </c>
      <c r="L25" s="8">
        <v>20688000</v>
      </c>
      <c r="M25" s="8">
        <v>98620000</v>
      </c>
      <c r="N25" s="8">
        <f t="shared" si="1"/>
        <v>568328053.7846148</v>
      </c>
    </row>
    <row r="26" spans="1:14" ht="24" customHeight="1">
      <c r="A26" s="7" t="s">
        <v>24</v>
      </c>
      <c r="B26" s="7" t="s">
        <v>18</v>
      </c>
      <c r="C26" s="8">
        <v>424758308.31414574</v>
      </c>
      <c r="D26" s="8">
        <v>10964738.217473757</v>
      </c>
      <c r="E26" s="8">
        <v>115860690.05506435</v>
      </c>
      <c r="F26" s="8">
        <v>40531743.204419501</v>
      </c>
      <c r="G26" s="8">
        <v>33473054.968411431</v>
      </c>
      <c r="H26" s="8">
        <f t="shared" si="0"/>
        <v>625588534.75951481</v>
      </c>
      <c r="I26" s="8">
        <v>970505000</v>
      </c>
      <c r="J26" s="8">
        <v>203472000</v>
      </c>
      <c r="K26" s="8">
        <v>241559000</v>
      </c>
      <c r="L26" s="8">
        <v>180595000</v>
      </c>
      <c r="M26" s="8">
        <v>537463000</v>
      </c>
      <c r="N26" s="8">
        <f t="shared" si="1"/>
        <v>2759182534.7595148</v>
      </c>
    </row>
    <row r="27" spans="1:14" ht="24" customHeight="1">
      <c r="A27" s="7" t="s">
        <v>24</v>
      </c>
      <c r="B27" s="7" t="s">
        <v>19</v>
      </c>
      <c r="C27" s="8">
        <v>243125111.43007934</v>
      </c>
      <c r="D27" s="8">
        <v>11357280.5559732</v>
      </c>
      <c r="E27" s="8">
        <v>63492835.347999536</v>
      </c>
      <c r="F27" s="8">
        <v>144636488.79935783</v>
      </c>
      <c r="G27" s="8">
        <v>25935994.561374035</v>
      </c>
      <c r="H27" s="8">
        <f t="shared" si="0"/>
        <v>488547710.69478393</v>
      </c>
      <c r="I27" s="8">
        <v>430070000</v>
      </c>
      <c r="J27" s="8">
        <v>699020000</v>
      </c>
      <c r="K27" s="8">
        <v>494563000</v>
      </c>
      <c r="L27" s="8">
        <v>85615000</v>
      </c>
      <c r="M27" s="8">
        <v>402537000</v>
      </c>
      <c r="N27" s="8">
        <f t="shared" si="1"/>
        <v>2600352710.6947842</v>
      </c>
    </row>
    <row r="28" spans="1:14" ht="24" customHeight="1">
      <c r="A28" s="7" t="s">
        <v>25</v>
      </c>
      <c r="B28" s="7" t="s">
        <v>16</v>
      </c>
      <c r="C28" s="8">
        <v>157284657.19643337</v>
      </c>
      <c r="D28" s="8">
        <v>4532571.0354116252</v>
      </c>
      <c r="E28" s="8">
        <v>27530904.755117968</v>
      </c>
      <c r="F28" s="8">
        <v>6564372.2591644544</v>
      </c>
      <c r="G28" s="8">
        <v>1029543.3304029983</v>
      </c>
      <c r="H28" s="8">
        <f t="shared" si="0"/>
        <v>196942048.57653043</v>
      </c>
      <c r="I28" s="8">
        <v>57081000</v>
      </c>
      <c r="J28" s="8">
        <v>29663000</v>
      </c>
      <c r="K28" s="8">
        <v>5768000</v>
      </c>
      <c r="L28" s="8">
        <v>5886000</v>
      </c>
      <c r="M28" s="8">
        <v>54911000</v>
      </c>
      <c r="N28" s="8">
        <f t="shared" si="1"/>
        <v>350251048.57653046</v>
      </c>
    </row>
    <row r="29" spans="1:14" ht="24" customHeight="1">
      <c r="A29" s="7" t="s">
        <v>25</v>
      </c>
      <c r="B29" s="7" t="s">
        <v>17</v>
      </c>
      <c r="C29" s="8">
        <v>192059894.01373878</v>
      </c>
      <c r="D29" s="8">
        <v>5917439.2367443442</v>
      </c>
      <c r="E29" s="8">
        <v>33115569.841818117</v>
      </c>
      <c r="F29" s="8">
        <v>7471795.8827574858</v>
      </c>
      <c r="G29" s="8">
        <v>3649122.2875121455</v>
      </c>
      <c r="H29" s="8">
        <f t="shared" si="0"/>
        <v>242213821.26257089</v>
      </c>
      <c r="I29" s="8">
        <v>118350000</v>
      </c>
      <c r="J29" s="8">
        <v>36445000</v>
      </c>
      <c r="K29" s="8">
        <v>66077000</v>
      </c>
      <c r="L29" s="8">
        <v>20828000</v>
      </c>
      <c r="M29" s="8">
        <v>106865000</v>
      </c>
      <c r="N29" s="8">
        <f t="shared" si="1"/>
        <v>590778821.26257086</v>
      </c>
    </row>
    <row r="30" spans="1:14" ht="24" customHeight="1">
      <c r="A30" s="7" t="s">
        <v>25</v>
      </c>
      <c r="B30" s="7" t="s">
        <v>18</v>
      </c>
      <c r="C30" s="8">
        <v>424758308.31414574</v>
      </c>
      <c r="D30" s="8">
        <v>10964738.217473757</v>
      </c>
      <c r="E30" s="8">
        <v>115860690.05506435</v>
      </c>
      <c r="F30" s="8">
        <v>49212797.009775162</v>
      </c>
      <c r="G30" s="8">
        <v>34002172.766390599</v>
      </c>
      <c r="H30" s="8">
        <f t="shared" si="0"/>
        <v>634798706.36284959</v>
      </c>
      <c r="I30" s="8">
        <v>1016605000</v>
      </c>
      <c r="J30" s="8">
        <v>250048000</v>
      </c>
      <c r="K30" s="8">
        <v>235662000</v>
      </c>
      <c r="L30" s="8">
        <v>181234000</v>
      </c>
      <c r="M30" s="8">
        <v>541035000</v>
      </c>
      <c r="N30" s="8">
        <f t="shared" si="1"/>
        <v>2859382706.3628497</v>
      </c>
    </row>
    <row r="31" spans="1:14" ht="24" customHeight="1">
      <c r="A31" s="7" t="s">
        <v>25</v>
      </c>
      <c r="B31" s="7" t="s">
        <v>19</v>
      </c>
      <c r="C31" s="8">
        <v>243125111.43007934</v>
      </c>
      <c r="D31" s="8">
        <v>11357280.5559732</v>
      </c>
      <c r="E31" s="8">
        <v>63492835.347999536</v>
      </c>
      <c r="F31" s="8">
        <v>134751034.8483029</v>
      </c>
      <c r="G31" s="8">
        <v>25319161.615694258</v>
      </c>
      <c r="H31" s="8">
        <f t="shared" si="0"/>
        <v>478045423.79804927</v>
      </c>
      <c r="I31" s="8">
        <v>380215000</v>
      </c>
      <c r="J31" s="8">
        <v>666399000</v>
      </c>
      <c r="K31" s="8">
        <v>472873000</v>
      </c>
      <c r="L31" s="8">
        <v>87947000</v>
      </c>
      <c r="M31" s="8">
        <v>436636000</v>
      </c>
      <c r="N31" s="8">
        <f t="shared" si="1"/>
        <v>2522115423.798049</v>
      </c>
    </row>
    <row r="32" spans="1:14" ht="24" customHeight="1">
      <c r="A32" s="7" t="s">
        <v>26</v>
      </c>
      <c r="B32" s="7" t="s">
        <v>16</v>
      </c>
      <c r="C32" s="8">
        <v>157284657.19643337</v>
      </c>
      <c r="D32" s="8">
        <v>4532571.0354116252</v>
      </c>
      <c r="E32" s="8">
        <v>27530904.755117968</v>
      </c>
      <c r="F32" s="8">
        <v>6220970.8168017091</v>
      </c>
      <c r="G32" s="8">
        <v>1097877.4926161692</v>
      </c>
      <c r="H32" s="8">
        <f t="shared" si="0"/>
        <v>196666981.29638085</v>
      </c>
      <c r="I32" s="8">
        <v>63830000</v>
      </c>
      <c r="J32" s="8">
        <v>30979000</v>
      </c>
      <c r="K32" s="8">
        <v>5981000</v>
      </c>
      <c r="L32" s="8">
        <v>7393000</v>
      </c>
      <c r="M32" s="8">
        <v>56968000</v>
      </c>
      <c r="N32" s="8">
        <f t="shared" si="1"/>
        <v>361817981.29638088</v>
      </c>
    </row>
    <row r="33" spans="1:14" ht="24" customHeight="1">
      <c r="A33" s="7" t="s">
        <v>26</v>
      </c>
      <c r="B33" s="7" t="s">
        <v>17</v>
      </c>
      <c r="C33" s="8">
        <v>192059894.01373878</v>
      </c>
      <c r="D33" s="8">
        <v>5917439.2367443442</v>
      </c>
      <c r="E33" s="8">
        <v>33115569.841818117</v>
      </c>
      <c r="F33" s="8">
        <v>7975241.3152927496</v>
      </c>
      <c r="G33" s="8">
        <v>3507314.1200858541</v>
      </c>
      <c r="H33" s="8">
        <f t="shared" si="0"/>
        <v>242575458.52767986</v>
      </c>
      <c r="I33" s="8">
        <v>130878000</v>
      </c>
      <c r="J33" s="8">
        <v>39505000</v>
      </c>
      <c r="K33" s="8">
        <v>61909000</v>
      </c>
      <c r="L33" s="8">
        <v>21556000</v>
      </c>
      <c r="M33" s="8">
        <v>114249000</v>
      </c>
      <c r="N33" s="8">
        <f t="shared" si="1"/>
        <v>610672458.52767992</v>
      </c>
    </row>
    <row r="34" spans="1:14" ht="24" customHeight="1">
      <c r="A34" s="7" t="s">
        <v>26</v>
      </c>
      <c r="B34" s="7" t="s">
        <v>18</v>
      </c>
      <c r="C34" s="8">
        <v>424758308.31414574</v>
      </c>
      <c r="D34" s="8">
        <v>10964738.217473757</v>
      </c>
      <c r="E34" s="8">
        <v>115860690.05506435</v>
      </c>
      <c r="F34" s="8">
        <v>53655086.530466124</v>
      </c>
      <c r="G34" s="8">
        <v>35209333.895910919</v>
      </c>
      <c r="H34" s="8">
        <f t="shared" si="0"/>
        <v>640448157.01306081</v>
      </c>
      <c r="I34" s="8">
        <v>1068653000</v>
      </c>
      <c r="J34" s="8">
        <v>279244000</v>
      </c>
      <c r="K34" s="8">
        <v>290286000</v>
      </c>
      <c r="L34" s="8">
        <v>178841000</v>
      </c>
      <c r="M34" s="8">
        <v>585521000</v>
      </c>
      <c r="N34" s="8">
        <f t="shared" si="1"/>
        <v>3042993157.0130606</v>
      </c>
    </row>
    <row r="35" spans="1:14" ht="24" customHeight="1">
      <c r="A35" s="7" t="s">
        <v>26</v>
      </c>
      <c r="B35" s="7" t="s">
        <v>19</v>
      </c>
      <c r="C35" s="8">
        <v>243125111.43007934</v>
      </c>
      <c r="D35" s="8">
        <v>11357280.5559732</v>
      </c>
      <c r="E35" s="8">
        <v>63492835.347999536</v>
      </c>
      <c r="F35" s="8">
        <v>130148701.3374394</v>
      </c>
      <c r="G35" s="8">
        <v>24185474.491387058</v>
      </c>
      <c r="H35" s="8">
        <f t="shared" si="0"/>
        <v>472309403.16287857</v>
      </c>
      <c r="I35" s="8">
        <v>381282000</v>
      </c>
      <c r="J35" s="8">
        <v>673446000</v>
      </c>
      <c r="K35" s="8">
        <v>500224000</v>
      </c>
      <c r="L35" s="8">
        <v>88570000</v>
      </c>
      <c r="M35" s="8">
        <v>450896000</v>
      </c>
      <c r="N35" s="8">
        <f t="shared" si="1"/>
        <v>2566727403.1628785</v>
      </c>
    </row>
    <row r="36" spans="1:14" ht="24" customHeight="1">
      <c r="A36" s="7" t="s">
        <v>27</v>
      </c>
      <c r="B36" s="7" t="s">
        <v>16</v>
      </c>
      <c r="C36" s="8">
        <v>157284657.19643337</v>
      </c>
      <c r="D36" s="8">
        <v>4532571.0354116252</v>
      </c>
      <c r="E36" s="8">
        <v>29825146.818044465</v>
      </c>
      <c r="F36" s="8">
        <v>6551594.7090409435</v>
      </c>
      <c r="G36" s="8">
        <v>952277.12253096176</v>
      </c>
      <c r="H36" s="8">
        <f t="shared" ref="H36:H67" si="2">SUM(C36:G36)</f>
        <v>199146246.88146135</v>
      </c>
      <c r="I36" s="8">
        <v>66985000</v>
      </c>
      <c r="J36" s="8">
        <v>33152000</v>
      </c>
      <c r="K36" s="8">
        <v>7413000</v>
      </c>
      <c r="L36" s="8">
        <v>6490000</v>
      </c>
      <c r="M36" s="8">
        <v>59466000</v>
      </c>
      <c r="N36" s="8">
        <f t="shared" ref="N36:N67" si="3">SUM(H36:M36)</f>
        <v>372652246.88146138</v>
      </c>
    </row>
    <row r="37" spans="1:14" ht="24" customHeight="1">
      <c r="A37" s="7" t="s">
        <v>27</v>
      </c>
      <c r="B37" s="7" t="s">
        <v>17</v>
      </c>
      <c r="C37" s="8">
        <v>192059894.01373878</v>
      </c>
      <c r="D37" s="8">
        <v>5917439.2367443442</v>
      </c>
      <c r="E37" s="8">
        <v>35875200.661969632</v>
      </c>
      <c r="F37" s="8">
        <v>8276120.1052124407</v>
      </c>
      <c r="G37" s="8">
        <v>3282472.9095851979</v>
      </c>
      <c r="H37" s="8">
        <f t="shared" si="2"/>
        <v>245411126.92725042</v>
      </c>
      <c r="I37" s="8">
        <v>134090000</v>
      </c>
      <c r="J37" s="8">
        <v>38186000</v>
      </c>
      <c r="K37" s="8">
        <v>60544000</v>
      </c>
      <c r="L37" s="8">
        <v>21932000</v>
      </c>
      <c r="M37" s="8">
        <v>122613000</v>
      </c>
      <c r="N37" s="8">
        <f t="shared" si="3"/>
        <v>622776126.92725039</v>
      </c>
    </row>
    <row r="38" spans="1:14" ht="24" customHeight="1">
      <c r="A38" s="7" t="s">
        <v>27</v>
      </c>
      <c r="B38" s="7" t="s">
        <v>18</v>
      </c>
      <c r="C38" s="8">
        <v>424758308.31414574</v>
      </c>
      <c r="D38" s="8">
        <v>10964738.217473757</v>
      </c>
      <c r="E38" s="8">
        <v>125515747.5596531</v>
      </c>
      <c r="F38" s="8">
        <v>56516073.119174257</v>
      </c>
      <c r="G38" s="8">
        <v>32273317.200026385</v>
      </c>
      <c r="H38" s="8">
        <f t="shared" si="2"/>
        <v>650028184.41047323</v>
      </c>
      <c r="I38" s="8">
        <v>1192614000</v>
      </c>
      <c r="J38" s="8">
        <v>284593000</v>
      </c>
      <c r="K38" s="8">
        <v>302291000</v>
      </c>
      <c r="L38" s="8">
        <v>185905000</v>
      </c>
      <c r="M38" s="8">
        <v>586325000</v>
      </c>
      <c r="N38" s="8">
        <f t="shared" si="3"/>
        <v>3201756184.4104733</v>
      </c>
    </row>
    <row r="39" spans="1:14" ht="24" customHeight="1">
      <c r="A39" s="7" t="s">
        <v>27</v>
      </c>
      <c r="B39" s="7" t="s">
        <v>19</v>
      </c>
      <c r="C39" s="8">
        <v>243125111.43007934</v>
      </c>
      <c r="D39" s="8">
        <v>11357280.5559732</v>
      </c>
      <c r="E39" s="8">
        <v>68783904.960332841</v>
      </c>
      <c r="F39" s="8">
        <v>132656212.06657235</v>
      </c>
      <c r="G39" s="8">
        <v>27491932.767857455</v>
      </c>
      <c r="H39" s="8">
        <f t="shared" si="2"/>
        <v>483414441.78081518</v>
      </c>
      <c r="I39" s="8">
        <v>405552000</v>
      </c>
      <c r="J39" s="8">
        <v>684850000</v>
      </c>
      <c r="K39" s="8">
        <v>510596000</v>
      </c>
      <c r="L39" s="8">
        <v>101755000</v>
      </c>
      <c r="M39" s="8">
        <v>495397000</v>
      </c>
      <c r="N39" s="8">
        <f t="shared" si="3"/>
        <v>2681564441.7808151</v>
      </c>
    </row>
    <row r="40" spans="1:14" ht="24" customHeight="1">
      <c r="A40" s="5" t="s">
        <v>28</v>
      </c>
      <c r="B40" s="5" t="s">
        <v>16</v>
      </c>
      <c r="C40" s="6">
        <v>162890634</v>
      </c>
      <c r="D40" s="6">
        <v>4694122</v>
      </c>
      <c r="E40" s="6">
        <v>29584271</v>
      </c>
      <c r="F40" s="6">
        <v>5703963.7876935564</v>
      </c>
      <c r="G40" s="6">
        <v>832451.38971463148</v>
      </c>
      <c r="H40" s="6">
        <f t="shared" si="2"/>
        <v>203705442.17740819</v>
      </c>
      <c r="I40" s="6">
        <v>70136000</v>
      </c>
      <c r="J40" s="6">
        <v>32477000</v>
      </c>
      <c r="K40" s="6">
        <v>7113000</v>
      </c>
      <c r="L40" s="6">
        <v>5413000</v>
      </c>
      <c r="M40" s="6">
        <v>55677000</v>
      </c>
      <c r="N40" s="6">
        <f t="shared" si="3"/>
        <v>374521442.17740822</v>
      </c>
    </row>
    <row r="41" spans="1:14" ht="24" customHeight="1">
      <c r="A41" s="5" t="s">
        <v>28</v>
      </c>
      <c r="B41" s="5" t="s">
        <v>17</v>
      </c>
      <c r="C41" s="6">
        <v>198905338</v>
      </c>
      <c r="D41" s="6">
        <v>6128350</v>
      </c>
      <c r="E41" s="6">
        <v>35585463</v>
      </c>
      <c r="F41" s="6">
        <v>8283778.3187259035</v>
      </c>
      <c r="G41" s="6">
        <v>3187922.1354144593</v>
      </c>
      <c r="H41" s="6">
        <f t="shared" si="2"/>
        <v>252090851.45414037</v>
      </c>
      <c r="I41" s="6">
        <v>138826000</v>
      </c>
      <c r="J41" s="6">
        <v>39077000</v>
      </c>
      <c r="K41" s="6">
        <v>54196000</v>
      </c>
      <c r="L41" s="6">
        <v>21315000</v>
      </c>
      <c r="M41" s="6">
        <v>118123000</v>
      </c>
      <c r="N41" s="6">
        <f t="shared" si="3"/>
        <v>623627851.45414042</v>
      </c>
    </row>
    <row r="42" spans="1:14" ht="24" customHeight="1">
      <c r="A42" s="5" t="s">
        <v>28</v>
      </c>
      <c r="B42" s="5" t="s">
        <v>18</v>
      </c>
      <c r="C42" s="6">
        <v>439897644</v>
      </c>
      <c r="D42" s="6">
        <v>11355546</v>
      </c>
      <c r="E42" s="6">
        <v>124502049</v>
      </c>
      <c r="F42" s="6">
        <v>52291724.731570773</v>
      </c>
      <c r="G42" s="6">
        <v>32589514.936235562</v>
      </c>
      <c r="H42" s="6">
        <f t="shared" si="2"/>
        <v>660636478.66780627</v>
      </c>
      <c r="I42" s="6">
        <v>1088977000</v>
      </c>
      <c r="J42" s="6">
        <v>265829000</v>
      </c>
      <c r="K42" s="6">
        <v>292164000</v>
      </c>
      <c r="L42" s="6">
        <v>176891000</v>
      </c>
      <c r="M42" s="6">
        <v>556827000</v>
      </c>
      <c r="N42" s="6">
        <f t="shared" si="3"/>
        <v>3041324478.6678061</v>
      </c>
    </row>
    <row r="43" spans="1:14" ht="24" customHeight="1">
      <c r="A43" s="5" t="s">
        <v>28</v>
      </c>
      <c r="B43" s="5" t="s">
        <v>19</v>
      </c>
      <c r="C43" s="6">
        <v>259016875</v>
      </c>
      <c r="D43" s="6">
        <v>12111461</v>
      </c>
      <c r="E43" s="6">
        <v>70524651</v>
      </c>
      <c r="F43" s="6">
        <v>137242291.16200978</v>
      </c>
      <c r="G43" s="6">
        <v>27059254.538635343</v>
      </c>
      <c r="H43" s="6">
        <f t="shared" si="2"/>
        <v>505954532.70064509</v>
      </c>
      <c r="I43" s="6">
        <v>395439000</v>
      </c>
      <c r="J43" s="6">
        <v>665626000</v>
      </c>
      <c r="K43" s="6">
        <v>517840000</v>
      </c>
      <c r="L43" s="6">
        <v>92039000</v>
      </c>
      <c r="M43" s="6">
        <v>495502000</v>
      </c>
      <c r="N43" s="6">
        <f t="shared" si="3"/>
        <v>2672400532.700645</v>
      </c>
    </row>
    <row r="44" spans="1:14" ht="24" customHeight="1">
      <c r="A44" s="5" t="s">
        <v>29</v>
      </c>
      <c r="B44" s="5" t="s">
        <v>16</v>
      </c>
      <c r="C44" s="6">
        <v>162890634</v>
      </c>
      <c r="D44" s="6">
        <v>4694122</v>
      </c>
      <c r="E44" s="6">
        <v>28323539</v>
      </c>
      <c r="F44" s="6">
        <v>5882980.4183851359</v>
      </c>
      <c r="G44" s="6">
        <v>798616.25732887269</v>
      </c>
      <c r="H44" s="6">
        <f t="shared" si="2"/>
        <v>202589891.67571402</v>
      </c>
      <c r="I44" s="6">
        <v>76542000</v>
      </c>
      <c r="J44" s="6">
        <v>30832000</v>
      </c>
      <c r="K44" s="6">
        <v>6903000</v>
      </c>
      <c r="L44" s="6">
        <v>4997000</v>
      </c>
      <c r="M44" s="6">
        <v>53068000</v>
      </c>
      <c r="N44" s="6">
        <f t="shared" si="3"/>
        <v>374931891.67571402</v>
      </c>
    </row>
    <row r="45" spans="1:14" ht="24" customHeight="1">
      <c r="A45" s="5" t="s">
        <v>29</v>
      </c>
      <c r="B45" s="5" t="s">
        <v>17</v>
      </c>
      <c r="C45" s="6">
        <v>198905338</v>
      </c>
      <c r="D45" s="6">
        <v>6128350</v>
      </c>
      <c r="E45" s="6">
        <v>34441403</v>
      </c>
      <c r="F45" s="6">
        <v>8117079.7816111976</v>
      </c>
      <c r="G45" s="6">
        <v>3239958.8020313191</v>
      </c>
      <c r="H45" s="6">
        <f t="shared" si="2"/>
        <v>250832129.58364251</v>
      </c>
      <c r="I45" s="6">
        <v>172480000</v>
      </c>
      <c r="J45" s="6">
        <v>44164000</v>
      </c>
      <c r="K45" s="6">
        <v>61857000</v>
      </c>
      <c r="L45" s="6">
        <v>20084000</v>
      </c>
      <c r="M45" s="6">
        <v>110241000</v>
      </c>
      <c r="N45" s="6">
        <f t="shared" si="3"/>
        <v>659658129.58364248</v>
      </c>
    </row>
    <row r="46" spans="1:14" ht="24" customHeight="1">
      <c r="A46" s="5" t="s">
        <v>29</v>
      </c>
      <c r="B46" s="5" t="s">
        <v>18</v>
      </c>
      <c r="C46" s="6">
        <v>439897644</v>
      </c>
      <c r="D46" s="6">
        <v>11355546</v>
      </c>
      <c r="E46" s="6">
        <v>128030970</v>
      </c>
      <c r="F46" s="6">
        <v>52408533.155787587</v>
      </c>
      <c r="G46" s="6">
        <v>32356496.328865439</v>
      </c>
      <c r="H46" s="6">
        <f t="shared" si="2"/>
        <v>664049189.484653</v>
      </c>
      <c r="I46" s="6">
        <v>1123795000</v>
      </c>
      <c r="J46" s="6">
        <v>266411000</v>
      </c>
      <c r="K46" s="6">
        <v>327271000</v>
      </c>
      <c r="L46" s="6">
        <v>162678000</v>
      </c>
      <c r="M46" s="6">
        <v>539851000</v>
      </c>
      <c r="N46" s="6">
        <f t="shared" si="3"/>
        <v>3084055189.484653</v>
      </c>
    </row>
    <row r="47" spans="1:14" ht="24" customHeight="1">
      <c r="A47" s="5" t="s">
        <v>29</v>
      </c>
      <c r="B47" s="5" t="s">
        <v>19</v>
      </c>
      <c r="C47" s="6">
        <v>259016875</v>
      </c>
      <c r="D47" s="6">
        <v>12111461</v>
      </c>
      <c r="E47" s="6">
        <v>69400493</v>
      </c>
      <c r="F47" s="6">
        <v>137113226.64421597</v>
      </c>
      <c r="G47" s="6">
        <v>27273850.61177437</v>
      </c>
      <c r="H47" s="6">
        <f t="shared" si="2"/>
        <v>504915906.25599033</v>
      </c>
      <c r="I47" s="6">
        <v>438924000</v>
      </c>
      <c r="J47" s="6">
        <v>683538000</v>
      </c>
      <c r="K47" s="6">
        <v>547278000</v>
      </c>
      <c r="L47" s="6">
        <v>88309000</v>
      </c>
      <c r="M47" s="6">
        <v>466119000</v>
      </c>
      <c r="N47" s="6">
        <f t="shared" si="3"/>
        <v>2729083906.25599</v>
      </c>
    </row>
    <row r="48" spans="1:14" ht="24" customHeight="1">
      <c r="A48" s="5" t="s">
        <v>30</v>
      </c>
      <c r="B48" s="5" t="s">
        <v>16</v>
      </c>
      <c r="C48" s="6">
        <v>162890634</v>
      </c>
      <c r="D48" s="6">
        <v>4694122</v>
      </c>
      <c r="E48" s="6">
        <v>28595713</v>
      </c>
      <c r="F48" s="6">
        <v>5827625.1177277584</v>
      </c>
      <c r="G48" s="6">
        <v>1011841.5969695309</v>
      </c>
      <c r="H48" s="6">
        <f t="shared" si="2"/>
        <v>203019935.7146973</v>
      </c>
      <c r="I48" s="6">
        <v>86974000</v>
      </c>
      <c r="J48" s="6">
        <v>33855000</v>
      </c>
      <c r="K48" s="6">
        <v>7053000</v>
      </c>
      <c r="L48" s="6">
        <v>6802000</v>
      </c>
      <c r="M48" s="6">
        <v>54685000</v>
      </c>
      <c r="N48" s="6">
        <f t="shared" si="3"/>
        <v>392388935.7146973</v>
      </c>
    </row>
    <row r="49" spans="1:14" ht="24" customHeight="1">
      <c r="A49" s="5" t="s">
        <v>30</v>
      </c>
      <c r="B49" s="5" t="s">
        <v>17</v>
      </c>
      <c r="C49" s="6">
        <v>198905338</v>
      </c>
      <c r="D49" s="6">
        <v>6128350</v>
      </c>
      <c r="E49" s="6">
        <v>34790356</v>
      </c>
      <c r="F49" s="6">
        <v>8434176.7681374177</v>
      </c>
      <c r="G49" s="6">
        <v>3529521.2721947515</v>
      </c>
      <c r="H49" s="6">
        <f t="shared" si="2"/>
        <v>251787742.04033217</v>
      </c>
      <c r="I49" s="6">
        <v>190242000</v>
      </c>
      <c r="J49" s="6">
        <v>47603000</v>
      </c>
      <c r="K49" s="6">
        <v>71158000</v>
      </c>
      <c r="L49" s="6">
        <v>22636000</v>
      </c>
      <c r="M49" s="6">
        <v>124030000</v>
      </c>
      <c r="N49" s="6">
        <f t="shared" si="3"/>
        <v>707456742.0403322</v>
      </c>
    </row>
    <row r="50" spans="1:14" ht="24" customHeight="1">
      <c r="A50" s="5" t="s">
        <v>30</v>
      </c>
      <c r="B50" s="5" t="s">
        <v>18</v>
      </c>
      <c r="C50" s="6">
        <v>439897644</v>
      </c>
      <c r="D50" s="6">
        <v>11355546</v>
      </c>
      <c r="E50" s="6">
        <v>126576107</v>
      </c>
      <c r="F50" s="6">
        <v>54594150.821811281</v>
      </c>
      <c r="G50" s="6">
        <v>30577634.811523627</v>
      </c>
      <c r="H50" s="6">
        <f t="shared" si="2"/>
        <v>663001082.63333499</v>
      </c>
      <c r="I50" s="6">
        <v>1148813000</v>
      </c>
      <c r="J50" s="6">
        <v>286399000</v>
      </c>
      <c r="K50" s="6">
        <v>315429000</v>
      </c>
      <c r="L50" s="6">
        <v>207209000</v>
      </c>
      <c r="M50" s="6">
        <v>545593000</v>
      </c>
      <c r="N50" s="6">
        <f t="shared" si="3"/>
        <v>3166444082.6333351</v>
      </c>
    </row>
    <row r="51" spans="1:14" ht="24" customHeight="1">
      <c r="A51" s="5" t="s">
        <v>30</v>
      </c>
      <c r="B51" s="5" t="s">
        <v>19</v>
      </c>
      <c r="C51" s="6">
        <v>259016875</v>
      </c>
      <c r="D51" s="6">
        <v>12111461</v>
      </c>
      <c r="E51" s="6">
        <v>70234248</v>
      </c>
      <c r="F51" s="6">
        <v>134665581.2923235</v>
      </c>
      <c r="G51" s="6">
        <v>28550222.319312092</v>
      </c>
      <c r="H51" s="6">
        <f t="shared" si="2"/>
        <v>504578387.61163557</v>
      </c>
      <c r="I51" s="6">
        <v>469359000</v>
      </c>
      <c r="J51" s="6">
        <v>712577000</v>
      </c>
      <c r="K51" s="6">
        <v>645379000</v>
      </c>
      <c r="L51" s="6">
        <v>106351000</v>
      </c>
      <c r="M51" s="6">
        <v>530834000</v>
      </c>
      <c r="N51" s="6">
        <f t="shared" si="3"/>
        <v>2969078387.6116357</v>
      </c>
    </row>
    <row r="52" spans="1:14" ht="24" customHeight="1">
      <c r="A52" s="5" t="s">
        <v>31</v>
      </c>
      <c r="B52" s="5" t="s">
        <v>16</v>
      </c>
      <c r="C52" s="6">
        <v>203012584</v>
      </c>
      <c r="D52" s="6">
        <v>5591945</v>
      </c>
      <c r="E52" s="6">
        <v>37712648</v>
      </c>
      <c r="F52" s="6">
        <v>5705531.5063174805</v>
      </c>
      <c r="G52" s="6">
        <v>2229755.8478827304</v>
      </c>
      <c r="H52" s="6">
        <f t="shared" si="2"/>
        <v>254252464.35420018</v>
      </c>
      <c r="I52" s="6">
        <v>98793000</v>
      </c>
      <c r="J52" s="6">
        <v>33768000</v>
      </c>
      <c r="K52" s="6">
        <v>8693000</v>
      </c>
      <c r="L52" s="6">
        <v>9093000</v>
      </c>
      <c r="M52" s="6">
        <v>54353000</v>
      </c>
      <c r="N52" s="6">
        <f t="shared" si="3"/>
        <v>458952464.35420018</v>
      </c>
    </row>
    <row r="53" spans="1:14" ht="24" customHeight="1">
      <c r="A53" s="5" t="s">
        <v>31</v>
      </c>
      <c r="B53" s="5" t="s">
        <v>17</v>
      </c>
      <c r="C53" s="6">
        <v>229304293</v>
      </c>
      <c r="D53" s="6">
        <v>6447783</v>
      </c>
      <c r="E53" s="6">
        <v>43776727</v>
      </c>
      <c r="F53" s="6">
        <v>9326983.4162263144</v>
      </c>
      <c r="G53" s="6">
        <v>5438191.5030368315</v>
      </c>
      <c r="H53" s="6">
        <f t="shared" si="2"/>
        <v>294293977.91926318</v>
      </c>
      <c r="I53" s="6">
        <v>207802000</v>
      </c>
      <c r="J53" s="6">
        <v>55839000</v>
      </c>
      <c r="K53" s="6">
        <v>93955000</v>
      </c>
      <c r="L53" s="6">
        <v>21054000</v>
      </c>
      <c r="M53" s="6">
        <v>124076000</v>
      </c>
      <c r="N53" s="6">
        <f t="shared" si="3"/>
        <v>797019977.91926312</v>
      </c>
    </row>
    <row r="54" spans="1:14" ht="24" customHeight="1">
      <c r="A54" s="5" t="s">
        <v>31</v>
      </c>
      <c r="B54" s="5" t="s">
        <v>18</v>
      </c>
      <c r="C54" s="6">
        <v>511849580</v>
      </c>
      <c r="D54" s="6">
        <v>12517160</v>
      </c>
      <c r="E54" s="6">
        <v>160531849</v>
      </c>
      <c r="F54" s="6">
        <v>58123371.817811601</v>
      </c>
      <c r="G54" s="6">
        <v>57018540.632899806</v>
      </c>
      <c r="H54" s="6">
        <f t="shared" si="2"/>
        <v>800040501.45071137</v>
      </c>
      <c r="I54" s="6">
        <v>1219843000</v>
      </c>
      <c r="J54" s="6">
        <v>290873000</v>
      </c>
      <c r="K54" s="6">
        <v>341952000</v>
      </c>
      <c r="L54" s="6">
        <v>214807000</v>
      </c>
      <c r="M54" s="6">
        <v>527403000</v>
      </c>
      <c r="N54" s="6">
        <f t="shared" si="3"/>
        <v>3394918501.4507113</v>
      </c>
    </row>
    <row r="55" spans="1:14" ht="24" customHeight="1">
      <c r="A55" s="5" t="s">
        <v>31</v>
      </c>
      <c r="B55" s="5" t="s">
        <v>19</v>
      </c>
      <c r="C55" s="6">
        <v>321452857</v>
      </c>
      <c r="D55" s="6">
        <v>13092250</v>
      </c>
      <c r="E55" s="6">
        <v>89745181</v>
      </c>
      <c r="F55" s="6">
        <v>145365975.25964457</v>
      </c>
      <c r="G55" s="6">
        <v>48982963.016180612</v>
      </c>
      <c r="H55" s="6">
        <f t="shared" si="2"/>
        <v>618639226.27582514</v>
      </c>
      <c r="I55" s="6">
        <v>488665000</v>
      </c>
      <c r="J55" s="6">
        <v>756395000</v>
      </c>
      <c r="K55" s="6">
        <v>661394000</v>
      </c>
      <c r="L55" s="6">
        <v>124482000</v>
      </c>
      <c r="M55" s="6">
        <v>559813000</v>
      </c>
      <c r="N55" s="6">
        <f t="shared" si="3"/>
        <v>3209388226.275825</v>
      </c>
    </row>
    <row r="56" spans="1:14" ht="24" customHeight="1">
      <c r="A56" s="5" t="s">
        <v>32</v>
      </c>
      <c r="B56" s="5" t="s">
        <v>16</v>
      </c>
      <c r="C56" s="6">
        <v>203012584</v>
      </c>
      <c r="D56" s="6">
        <v>5591945</v>
      </c>
      <c r="E56" s="6">
        <v>39371757</v>
      </c>
      <c r="F56" s="6">
        <v>5430922.5666309576</v>
      </c>
      <c r="G56" s="6">
        <v>2316678.4418357303</v>
      </c>
      <c r="H56" s="6">
        <f t="shared" si="2"/>
        <v>255723887.00846669</v>
      </c>
      <c r="I56" s="6">
        <v>99433000</v>
      </c>
      <c r="J56" s="6">
        <v>32423000</v>
      </c>
      <c r="K56" s="6">
        <v>9348000</v>
      </c>
      <c r="L56" s="6">
        <v>10657000</v>
      </c>
      <c r="M56" s="6">
        <v>42150000</v>
      </c>
      <c r="N56" s="6">
        <f t="shared" si="3"/>
        <v>449734887.00846672</v>
      </c>
    </row>
    <row r="57" spans="1:14" ht="24" customHeight="1">
      <c r="A57" s="5" t="s">
        <v>32</v>
      </c>
      <c r="B57" s="5" t="s">
        <v>17</v>
      </c>
      <c r="C57" s="6">
        <v>229304293</v>
      </c>
      <c r="D57" s="6">
        <v>6447783</v>
      </c>
      <c r="E57" s="6">
        <v>45482334</v>
      </c>
      <c r="F57" s="6">
        <v>8972379.6460459474</v>
      </c>
      <c r="G57" s="6">
        <v>5254916.6319242762</v>
      </c>
      <c r="H57" s="6">
        <f t="shared" si="2"/>
        <v>295461706.27797019</v>
      </c>
      <c r="I57" s="6">
        <v>219612000</v>
      </c>
      <c r="J57" s="6">
        <v>53664000</v>
      </c>
      <c r="K57" s="6">
        <v>110926000</v>
      </c>
      <c r="L57" s="6">
        <v>21424000</v>
      </c>
      <c r="M57" s="6">
        <v>113260000</v>
      </c>
      <c r="N57" s="6">
        <f t="shared" si="3"/>
        <v>814347706.27797019</v>
      </c>
    </row>
    <row r="58" spans="1:14" ht="24" customHeight="1">
      <c r="A58" s="5" t="s">
        <v>32</v>
      </c>
      <c r="B58" s="5" t="s">
        <v>18</v>
      </c>
      <c r="C58" s="6">
        <v>511849580</v>
      </c>
      <c r="D58" s="6">
        <v>12517160</v>
      </c>
      <c r="E58" s="6">
        <v>158862458</v>
      </c>
      <c r="F58" s="6">
        <v>57684762.311040044</v>
      </c>
      <c r="G58" s="6">
        <v>56257483.307509534</v>
      </c>
      <c r="H58" s="6">
        <f t="shared" si="2"/>
        <v>797171443.61854959</v>
      </c>
      <c r="I58" s="6">
        <v>1410566000</v>
      </c>
      <c r="J58" s="6">
        <v>297950000</v>
      </c>
      <c r="K58" s="6">
        <v>416165000</v>
      </c>
      <c r="L58" s="6">
        <v>211637000</v>
      </c>
      <c r="M58" s="6">
        <v>462643000</v>
      </c>
      <c r="N58" s="6">
        <f t="shared" si="3"/>
        <v>3596132443.6185493</v>
      </c>
    </row>
    <row r="59" spans="1:14" ht="24" customHeight="1">
      <c r="A59" s="5" t="s">
        <v>32</v>
      </c>
      <c r="B59" s="5" t="s">
        <v>19</v>
      </c>
      <c r="C59" s="6">
        <v>321452857</v>
      </c>
      <c r="D59" s="6">
        <v>13092250</v>
      </c>
      <c r="E59" s="6">
        <v>95049877</v>
      </c>
      <c r="F59" s="6">
        <v>146433623.47628307</v>
      </c>
      <c r="G59" s="6">
        <v>49840198.618730448</v>
      </c>
      <c r="H59" s="6">
        <f t="shared" si="2"/>
        <v>625868806.0950135</v>
      </c>
      <c r="I59" s="6">
        <v>479750000</v>
      </c>
      <c r="J59" s="6">
        <v>725668000</v>
      </c>
      <c r="K59" s="6">
        <v>693178000</v>
      </c>
      <c r="L59" s="6">
        <v>130472000</v>
      </c>
      <c r="M59" s="6">
        <v>562293000</v>
      </c>
      <c r="N59" s="6">
        <f t="shared" si="3"/>
        <v>3217229806.0950136</v>
      </c>
    </row>
    <row r="60" spans="1:14" ht="24" customHeight="1">
      <c r="A60" s="7" t="s">
        <v>33</v>
      </c>
      <c r="B60" s="7" t="s">
        <v>16</v>
      </c>
      <c r="C60" s="8">
        <v>202971382</v>
      </c>
      <c r="D60" s="8">
        <v>5590810</v>
      </c>
      <c r="E60" s="8">
        <v>40011158.130483024</v>
      </c>
      <c r="F60" s="8">
        <v>5303903.128348764</v>
      </c>
      <c r="G60" s="8">
        <v>2599999.0647585448</v>
      </c>
      <c r="H60" s="8">
        <f t="shared" si="2"/>
        <v>256477252.32359034</v>
      </c>
      <c r="I60" s="8">
        <v>96086000</v>
      </c>
      <c r="J60" s="8">
        <v>34752000</v>
      </c>
      <c r="K60" s="8">
        <v>10306000</v>
      </c>
      <c r="L60" s="8">
        <v>13125000</v>
      </c>
      <c r="M60" s="8">
        <v>36877000</v>
      </c>
      <c r="N60" s="8">
        <f t="shared" si="3"/>
        <v>447623252.32359034</v>
      </c>
    </row>
    <row r="61" spans="1:14" ht="24" customHeight="1">
      <c r="A61" s="7" t="s">
        <v>33</v>
      </c>
      <c r="B61" s="7" t="s">
        <v>17</v>
      </c>
      <c r="C61" s="8">
        <v>229257700</v>
      </c>
      <c r="D61" s="8">
        <v>6446465</v>
      </c>
      <c r="E61" s="8">
        <v>46253991.367208257</v>
      </c>
      <c r="F61" s="8">
        <v>8945003.9515972324</v>
      </c>
      <c r="G61" s="8">
        <v>5289818.9599079052</v>
      </c>
      <c r="H61" s="8">
        <f t="shared" si="2"/>
        <v>296192979.27871335</v>
      </c>
      <c r="I61" s="8">
        <v>221193000</v>
      </c>
      <c r="J61" s="8">
        <v>56038000</v>
      </c>
      <c r="K61" s="8">
        <v>125069000</v>
      </c>
      <c r="L61" s="8">
        <v>20932000</v>
      </c>
      <c r="M61" s="8">
        <v>101623000</v>
      </c>
      <c r="N61" s="8">
        <f t="shared" si="3"/>
        <v>821047979.27871335</v>
      </c>
    </row>
    <row r="62" spans="1:14" ht="24" customHeight="1">
      <c r="A62" s="7" t="s">
        <v>33</v>
      </c>
      <c r="B62" s="7" t="s">
        <v>18</v>
      </c>
      <c r="C62" s="8">
        <v>511745623</v>
      </c>
      <c r="D62" s="8">
        <v>12514616</v>
      </c>
      <c r="E62" s="8">
        <v>161456594.83805266</v>
      </c>
      <c r="F62" s="8">
        <v>58043683.178316765</v>
      </c>
      <c r="G62" s="8">
        <v>53556615.176963717</v>
      </c>
      <c r="H62" s="8">
        <f t="shared" si="2"/>
        <v>797317132.19333303</v>
      </c>
      <c r="I62" s="8">
        <v>1463728000</v>
      </c>
      <c r="J62" s="8">
        <v>305011000</v>
      </c>
      <c r="K62" s="8">
        <v>510047000</v>
      </c>
      <c r="L62" s="8">
        <v>203522000</v>
      </c>
      <c r="M62" s="8">
        <v>385311000</v>
      </c>
      <c r="N62" s="8">
        <f t="shared" si="3"/>
        <v>3664936132.1933331</v>
      </c>
    </row>
    <row r="63" spans="1:14" ht="24" customHeight="1">
      <c r="A63" s="7" t="s">
        <v>33</v>
      </c>
      <c r="B63" s="7" t="s">
        <v>19</v>
      </c>
      <c r="C63" s="8">
        <v>321387565</v>
      </c>
      <c r="D63" s="8">
        <v>13085828</v>
      </c>
      <c r="E63" s="8">
        <v>96278256.664255992</v>
      </c>
      <c r="F63" s="8">
        <v>146707414.74173722</v>
      </c>
      <c r="G63" s="8">
        <v>52553563.79836984</v>
      </c>
      <c r="H63" s="8">
        <f t="shared" si="2"/>
        <v>630012628.20436311</v>
      </c>
      <c r="I63" s="8">
        <v>469450000</v>
      </c>
      <c r="J63" s="8">
        <v>705160000</v>
      </c>
      <c r="K63" s="8">
        <v>712698000</v>
      </c>
      <c r="L63" s="8">
        <v>125944000</v>
      </c>
      <c r="M63" s="8">
        <v>488639000</v>
      </c>
      <c r="N63" s="8">
        <f t="shared" si="3"/>
        <v>3131903628.2043629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J64"/>
  <sheetViews>
    <sheetView workbookViewId="0"/>
  </sheetViews>
  <sheetFormatPr baseColWidth="10" defaultColWidth="8.83203125" defaultRowHeight="15"/>
  <cols>
    <col min="1" max="1" width="13" customWidth="1"/>
    <col min="2" max="2" width="22" customWidth="1"/>
    <col min="3" max="3" width="48" customWidth="1"/>
    <col min="4" max="10" width="18" customWidth="1"/>
  </cols>
  <sheetData>
    <row r="2" spans="1:10" ht="20">
      <c r="A2" s="1" t="s">
        <v>34</v>
      </c>
    </row>
    <row r="3" spans="1:10">
      <c r="A3" s="9" t="s">
        <v>35</v>
      </c>
      <c r="B3" s="9"/>
      <c r="C3" s="9"/>
      <c r="D3" s="9"/>
      <c r="E3" s="9"/>
      <c r="F3" s="9"/>
      <c r="G3" s="9"/>
      <c r="H3" s="9"/>
      <c r="I3" s="9"/>
      <c r="J3" s="9"/>
    </row>
    <row r="4" spans="1:10" ht="24" customHeight="1">
      <c r="A4" s="2" t="s">
        <v>1</v>
      </c>
      <c r="B4" s="3" t="s">
        <v>2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4" t="s">
        <v>43</v>
      </c>
    </row>
    <row r="5" spans="1:10" ht="24" customHeight="1">
      <c r="A5" s="5" t="s">
        <v>15</v>
      </c>
      <c r="B5" s="5" t="s">
        <v>16</v>
      </c>
      <c r="C5" s="5" t="s">
        <v>44</v>
      </c>
      <c r="D5" s="6">
        <f>Components!H4</f>
        <v>215777340.38670284</v>
      </c>
      <c r="E5" s="6">
        <f>Components!N4</f>
        <v>316402340.38670284</v>
      </c>
      <c r="F5" s="10">
        <f t="shared" ref="F5:F36" si="0">D5/E5</f>
        <v>0.68197137898216098</v>
      </c>
      <c r="G5" s="10">
        <f>Components!C4/E5</f>
        <v>0.54662609571287668</v>
      </c>
      <c r="H5" s="10">
        <f>SUM(Components!D4:G4)/E5</f>
        <v>0.13534528326928438</v>
      </c>
      <c r="I5" s="10">
        <v>0.68197137898216098</v>
      </c>
      <c r="J5" s="10">
        <v>0.68197137898216098</v>
      </c>
    </row>
    <row r="6" spans="1:10" ht="24" customHeight="1">
      <c r="A6" s="5" t="s">
        <v>15</v>
      </c>
      <c r="B6" s="5" t="s">
        <v>17</v>
      </c>
      <c r="C6" s="5" t="s">
        <v>44</v>
      </c>
      <c r="D6" s="6">
        <f>Components!H5</f>
        <v>263108010.61983454</v>
      </c>
      <c r="E6" s="6">
        <f>Components!N5</f>
        <v>562612010.61983454</v>
      </c>
      <c r="F6" s="10">
        <f t="shared" si="0"/>
        <v>0.46765445040884596</v>
      </c>
      <c r="G6" s="10">
        <f>Components!C5/E6</f>
        <v>0.35675434084471702</v>
      </c>
      <c r="H6" s="10">
        <f>SUM(Components!D5:G5)/E6</f>
        <v>0.11090010956412898</v>
      </c>
      <c r="I6" s="10">
        <v>0.46765445040884596</v>
      </c>
      <c r="J6" s="10">
        <v>0.46765445040884596</v>
      </c>
    </row>
    <row r="7" spans="1:10" ht="24" customHeight="1">
      <c r="A7" s="5" t="s">
        <v>15</v>
      </c>
      <c r="B7" s="5" t="s">
        <v>18</v>
      </c>
      <c r="C7" s="5" t="s">
        <v>44</v>
      </c>
      <c r="D7" s="6">
        <f>Components!H6</f>
        <v>669028880.89349699</v>
      </c>
      <c r="E7" s="6">
        <f>Components!N6</f>
        <v>2289156880.893497</v>
      </c>
      <c r="F7" s="10">
        <f t="shared" si="0"/>
        <v>0.2922599523333515</v>
      </c>
      <c r="G7" s="10">
        <f>Components!C6/E7</f>
        <v>0.21272445111316762</v>
      </c>
      <c r="H7" s="10">
        <f>SUM(Components!D6:G6)/E7</f>
        <v>7.9535501220183866E-2</v>
      </c>
      <c r="I7" s="10">
        <v>0.2922599523333515</v>
      </c>
      <c r="J7" s="10">
        <v>0.2922599523333515</v>
      </c>
    </row>
    <row r="8" spans="1:10" ht="24" customHeight="1">
      <c r="A8" s="5" t="s">
        <v>15</v>
      </c>
      <c r="B8" s="5" t="s">
        <v>19</v>
      </c>
      <c r="C8" s="5" t="s">
        <v>44</v>
      </c>
      <c r="D8" s="6">
        <f>Components!H7</f>
        <v>448631479.09996557</v>
      </c>
      <c r="E8" s="6">
        <f>Components!N7</f>
        <v>1944727479.0999656</v>
      </c>
      <c r="F8" s="10">
        <f t="shared" si="0"/>
        <v>0.23069118111479331</v>
      </c>
      <c r="G8" s="10">
        <f>Components!C7/E8</f>
        <v>0.12142592910204957</v>
      </c>
      <c r="H8" s="10">
        <f>SUM(Components!D7:G7)/E8</f>
        <v>0.10926525201274374</v>
      </c>
      <c r="I8" s="10">
        <v>0.23069118111479331</v>
      </c>
      <c r="J8" s="10">
        <v>0.23069118111479331</v>
      </c>
    </row>
    <row r="9" spans="1:10" ht="24" customHeight="1">
      <c r="A9" s="5" t="s">
        <v>20</v>
      </c>
      <c r="B9" s="5" t="s">
        <v>16</v>
      </c>
      <c r="C9" s="5" t="s">
        <v>44</v>
      </c>
      <c r="D9" s="6">
        <f>Components!H8</f>
        <v>208599807.08508188</v>
      </c>
      <c r="E9" s="6">
        <f>Components!N8</f>
        <v>312837807.08508188</v>
      </c>
      <c r="F9" s="10">
        <f t="shared" si="0"/>
        <v>0.66679858495603572</v>
      </c>
      <c r="G9" s="10">
        <f>Components!C8/E9</f>
        <v>0.53098034265028327</v>
      </c>
      <c r="H9" s="10">
        <f>SUM(Components!D8:G8)/E9</f>
        <v>0.13581824230575237</v>
      </c>
      <c r="I9" s="10">
        <v>0.66679858495603572</v>
      </c>
      <c r="J9" s="10">
        <v>0.66679858495603572</v>
      </c>
    </row>
    <row r="10" spans="1:10" ht="24" customHeight="1">
      <c r="A10" s="5" t="s">
        <v>20</v>
      </c>
      <c r="B10" s="5" t="s">
        <v>17</v>
      </c>
      <c r="C10" s="5" t="s">
        <v>44</v>
      </c>
      <c r="D10" s="6">
        <f>Components!H9</f>
        <v>253002589.41347921</v>
      </c>
      <c r="E10" s="6">
        <f>Components!N9</f>
        <v>534554589.41347921</v>
      </c>
      <c r="F10" s="10">
        <f t="shared" si="0"/>
        <v>0.47329607569374194</v>
      </c>
      <c r="G10" s="10">
        <f>Components!C9/E10</f>
        <v>0.36041240654465123</v>
      </c>
      <c r="H10" s="10">
        <f>SUM(Components!D9:G9)/E10</f>
        <v>0.11288366914909073</v>
      </c>
      <c r="I10" s="10">
        <v>0.47329607569374194</v>
      </c>
      <c r="J10" s="10">
        <v>0.47329607569374194</v>
      </c>
    </row>
    <row r="11" spans="1:10" ht="24" customHeight="1">
      <c r="A11" s="5" t="s">
        <v>20</v>
      </c>
      <c r="B11" s="5" t="s">
        <v>18</v>
      </c>
      <c r="C11" s="5" t="s">
        <v>44</v>
      </c>
      <c r="D11" s="6">
        <f>Components!H10</f>
        <v>646414142.47701883</v>
      </c>
      <c r="E11" s="6">
        <f>Components!N10</f>
        <v>2302085142.4770188</v>
      </c>
      <c r="F11" s="10">
        <f t="shared" si="0"/>
        <v>0.28079506294084511</v>
      </c>
      <c r="G11" s="10">
        <f>Components!C10/E11</f>
        <v>0.20283690528386328</v>
      </c>
      <c r="H11" s="10">
        <f>SUM(Components!D10:G10)/E11</f>
        <v>7.7958157656981789E-2</v>
      </c>
      <c r="I11" s="10">
        <v>0.28079506294084511</v>
      </c>
      <c r="J11" s="10">
        <v>0.28079506294084511</v>
      </c>
    </row>
    <row r="12" spans="1:10" ht="24" customHeight="1">
      <c r="A12" s="5" t="s">
        <v>20</v>
      </c>
      <c r="B12" s="5" t="s">
        <v>19</v>
      </c>
      <c r="C12" s="5" t="s">
        <v>44</v>
      </c>
      <c r="D12" s="6">
        <f>Components!H11</f>
        <v>443529182.02442008</v>
      </c>
      <c r="E12" s="6">
        <f>Components!N11</f>
        <v>2001335182.02442</v>
      </c>
      <c r="F12" s="10">
        <f t="shared" si="0"/>
        <v>0.22161664173403223</v>
      </c>
      <c r="G12" s="10">
        <f>Components!C11/E12</f>
        <v>0.1134523392380105</v>
      </c>
      <c r="H12" s="10">
        <f>SUM(Components!D11:G11)/E12</f>
        <v>0.10816430249602173</v>
      </c>
      <c r="I12" s="10">
        <v>0.22161664173403223</v>
      </c>
      <c r="J12" s="10">
        <v>0.22161664173403223</v>
      </c>
    </row>
    <row r="13" spans="1:10" ht="24" customHeight="1">
      <c r="A13" s="5" t="s">
        <v>21</v>
      </c>
      <c r="B13" s="5" t="s">
        <v>16</v>
      </c>
      <c r="C13" s="5" t="s">
        <v>44</v>
      </c>
      <c r="D13" s="6">
        <f>Components!H12</f>
        <v>204390178.63197449</v>
      </c>
      <c r="E13" s="6">
        <f>Components!N12</f>
        <v>318219178.63197446</v>
      </c>
      <c r="F13" s="10">
        <f t="shared" si="0"/>
        <v>0.64229371564168036</v>
      </c>
      <c r="G13" s="10">
        <f>Components!C12/E13</f>
        <v>0.49772626427138128</v>
      </c>
      <c r="H13" s="10">
        <f>SUM(Components!D12:G12)/E13</f>
        <v>0.14456745137029908</v>
      </c>
      <c r="I13" s="10">
        <v>0.64229371564168036</v>
      </c>
      <c r="J13" s="10">
        <v>0.64229371564168036</v>
      </c>
    </row>
    <row r="14" spans="1:10" ht="24" customHeight="1">
      <c r="A14" s="5" t="s">
        <v>21</v>
      </c>
      <c r="B14" s="5" t="s">
        <v>17</v>
      </c>
      <c r="C14" s="5" t="s">
        <v>44</v>
      </c>
      <c r="D14" s="6">
        <f>Components!H13</f>
        <v>239530816.84177053</v>
      </c>
      <c r="E14" s="6">
        <f>Components!N13</f>
        <v>524114816.84177053</v>
      </c>
      <c r="F14" s="10">
        <f t="shared" si="0"/>
        <v>0.45701973908149313</v>
      </c>
      <c r="G14" s="10">
        <f>Components!C13/E14</f>
        <v>0.34083976308178077</v>
      </c>
      <c r="H14" s="10">
        <f>SUM(Components!D13:G13)/E14</f>
        <v>0.11617997599971235</v>
      </c>
      <c r="I14" s="10">
        <v>0.45701973908149313</v>
      </c>
      <c r="J14" s="10">
        <v>0.45701973908149313</v>
      </c>
    </row>
    <row r="15" spans="1:10" ht="24" customHeight="1">
      <c r="A15" s="5" t="s">
        <v>21</v>
      </c>
      <c r="B15" s="5" t="s">
        <v>18</v>
      </c>
      <c r="C15" s="5" t="s">
        <v>44</v>
      </c>
      <c r="D15" s="6">
        <f>Components!H14</f>
        <v>666588434.25427437</v>
      </c>
      <c r="E15" s="6">
        <f>Components!N14</f>
        <v>2434155434.2542744</v>
      </c>
      <c r="F15" s="10">
        <f t="shared" si="0"/>
        <v>0.2738479329930259</v>
      </c>
      <c r="G15" s="10">
        <f>Components!C14/E15</f>
        <v>0.1874023871198475</v>
      </c>
      <c r="H15" s="10">
        <f>SUM(Components!D14:G14)/E15</f>
        <v>8.6445545873178362E-2</v>
      </c>
      <c r="I15" s="10">
        <v>0.27384793299302584</v>
      </c>
      <c r="J15" s="10">
        <v>0.27384793299302584</v>
      </c>
    </row>
    <row r="16" spans="1:10" ht="24" customHeight="1">
      <c r="A16" s="5" t="s">
        <v>21</v>
      </c>
      <c r="B16" s="5" t="s">
        <v>19</v>
      </c>
      <c r="C16" s="5" t="s">
        <v>44</v>
      </c>
      <c r="D16" s="6">
        <f>Components!H15</f>
        <v>441036262.27198064</v>
      </c>
      <c r="E16" s="6">
        <f>Components!N15</f>
        <v>2100839262.2719808</v>
      </c>
      <c r="F16" s="10">
        <f t="shared" si="0"/>
        <v>0.20993336815069616</v>
      </c>
      <c r="G16" s="10">
        <f>Components!C15/E16</f>
        <v>0.10724439039488572</v>
      </c>
      <c r="H16" s="10">
        <f>SUM(Components!D15:G15)/E16</f>
        <v>0.10268897775581044</v>
      </c>
      <c r="I16" s="10">
        <v>0.20993336815069616</v>
      </c>
      <c r="J16" s="10">
        <v>0.20993336815069616</v>
      </c>
    </row>
    <row r="17" spans="1:10" ht="24" customHeight="1">
      <c r="A17" s="5" t="s">
        <v>22</v>
      </c>
      <c r="B17" s="5" t="s">
        <v>16</v>
      </c>
      <c r="C17" s="5" t="s">
        <v>44</v>
      </c>
      <c r="D17" s="6">
        <f>Components!H16</f>
        <v>205223475.96012124</v>
      </c>
      <c r="E17" s="6">
        <f>Components!N16</f>
        <v>330793475.96012127</v>
      </c>
      <c r="F17" s="10">
        <f t="shared" si="0"/>
        <v>0.62039759207603573</v>
      </c>
      <c r="G17" s="10">
        <f>Components!C16/E17</f>
        <v>0.47880642911801014</v>
      </c>
      <c r="H17" s="10">
        <f>SUM(Components!D16:G16)/E17</f>
        <v>0.14159116295802551</v>
      </c>
      <c r="I17" s="10">
        <v>0.62039759207603573</v>
      </c>
      <c r="J17" s="10">
        <v>0.62039759207603573</v>
      </c>
    </row>
    <row r="18" spans="1:10" ht="24" customHeight="1">
      <c r="A18" s="5" t="s">
        <v>22</v>
      </c>
      <c r="B18" s="5" t="s">
        <v>17</v>
      </c>
      <c r="C18" s="5" t="s">
        <v>44</v>
      </c>
      <c r="D18" s="6">
        <f>Components!H17</f>
        <v>238783760.87747139</v>
      </c>
      <c r="E18" s="6">
        <f>Components!N17</f>
        <v>538647760.87747145</v>
      </c>
      <c r="F18" s="10">
        <f t="shared" si="0"/>
        <v>0.44330224354499559</v>
      </c>
      <c r="G18" s="10">
        <f>Components!C17/E18</f>
        <v>0.33164376235221338</v>
      </c>
      <c r="H18" s="10">
        <f>SUM(Components!D17:G17)/E18</f>
        <v>0.11165848119278221</v>
      </c>
      <c r="I18" s="10">
        <v>0.44330224354499559</v>
      </c>
      <c r="J18" s="10">
        <v>0.44330224354499559</v>
      </c>
    </row>
    <row r="19" spans="1:10" ht="24" customHeight="1">
      <c r="A19" s="5" t="s">
        <v>22</v>
      </c>
      <c r="B19" s="5" t="s">
        <v>18</v>
      </c>
      <c r="C19" s="5" t="s">
        <v>44</v>
      </c>
      <c r="D19" s="6">
        <f>Components!H18</f>
        <v>665869338.15932035</v>
      </c>
      <c r="E19" s="6">
        <f>Components!N18</f>
        <v>2590620338.1593204</v>
      </c>
      <c r="F19" s="10">
        <f t="shared" si="0"/>
        <v>0.25703084637729345</v>
      </c>
      <c r="G19" s="10">
        <f>Components!C18/E19</f>
        <v>0.17608390248496006</v>
      </c>
      <c r="H19" s="10">
        <f>SUM(Components!D18:G18)/E19</f>
        <v>8.0946943892333395E-2</v>
      </c>
      <c r="I19" s="10">
        <v>0.25703084637729345</v>
      </c>
      <c r="J19" s="10">
        <v>0.25703084637729345</v>
      </c>
    </row>
    <row r="20" spans="1:10" ht="24" customHeight="1">
      <c r="A20" s="5" t="s">
        <v>22</v>
      </c>
      <c r="B20" s="5" t="s">
        <v>19</v>
      </c>
      <c r="C20" s="5" t="s">
        <v>44</v>
      </c>
      <c r="D20" s="6">
        <f>Components!H19</f>
        <v>441669117.0030871</v>
      </c>
      <c r="E20" s="6">
        <f>Components!N19</f>
        <v>2161518117.003087</v>
      </c>
      <c r="F20" s="10">
        <f t="shared" si="0"/>
        <v>0.20433283141547517</v>
      </c>
      <c r="G20" s="10">
        <f>Components!C19/E20</f>
        <v>0.10423378931118078</v>
      </c>
      <c r="H20" s="10">
        <f>SUM(Components!D19:G19)/E20</f>
        <v>0.10009904210429436</v>
      </c>
      <c r="I20" s="10">
        <v>0.20433283141547515</v>
      </c>
      <c r="J20" s="10">
        <v>0.20433283141547515</v>
      </c>
    </row>
    <row r="21" spans="1:10" ht="24" customHeight="1">
      <c r="A21" s="5" t="s">
        <v>23</v>
      </c>
      <c r="B21" s="5" t="s">
        <v>16</v>
      </c>
      <c r="C21" s="5" t="s">
        <v>44</v>
      </c>
      <c r="D21" s="6">
        <f>Components!H20</f>
        <v>204530772.33124575</v>
      </c>
      <c r="E21" s="6">
        <f>Components!N20</f>
        <v>337659772.33124578</v>
      </c>
      <c r="F21" s="10">
        <f t="shared" si="0"/>
        <v>0.60573035075851478</v>
      </c>
      <c r="G21" s="10">
        <f>Components!C20/E21</f>
        <v>0.46906992179282336</v>
      </c>
      <c r="H21" s="10">
        <f>SUM(Components!D20:G20)/E21</f>
        <v>0.13666042896569139</v>
      </c>
      <c r="I21" s="10">
        <v>0.60573035075851478</v>
      </c>
      <c r="J21" s="10">
        <v>0.60573035075851478</v>
      </c>
    </row>
    <row r="22" spans="1:10" ht="24" customHeight="1">
      <c r="A22" s="5" t="s">
        <v>23</v>
      </c>
      <c r="B22" s="5" t="s">
        <v>17</v>
      </c>
      <c r="C22" s="5" t="s">
        <v>44</v>
      </c>
      <c r="D22" s="6">
        <f>Components!H21</f>
        <v>238486725.53388166</v>
      </c>
      <c r="E22" s="6">
        <f>Components!N21</f>
        <v>550781725.53388166</v>
      </c>
      <c r="F22" s="10">
        <f t="shared" si="0"/>
        <v>0.43299680159633586</v>
      </c>
      <c r="G22" s="10">
        <f>Components!C21/E22</f>
        <v>0.32433750380305765</v>
      </c>
      <c r="H22" s="10">
        <f>SUM(Components!D21:G21)/E22</f>
        <v>0.10865929779327824</v>
      </c>
      <c r="I22" s="10">
        <v>0.43299680159633591</v>
      </c>
      <c r="J22" s="10">
        <v>0.43299680159633591</v>
      </c>
    </row>
    <row r="23" spans="1:10" ht="24" customHeight="1">
      <c r="A23" s="5" t="s">
        <v>23</v>
      </c>
      <c r="B23" s="5" t="s">
        <v>18</v>
      </c>
      <c r="C23" s="5" t="s">
        <v>44</v>
      </c>
      <c r="D23" s="6">
        <f>Components!H22</f>
        <v>668231507.16537416</v>
      </c>
      <c r="E23" s="6">
        <f>Components!N22</f>
        <v>2794634507.1653743</v>
      </c>
      <c r="F23" s="10">
        <f t="shared" si="0"/>
        <v>0.2391123080503175</v>
      </c>
      <c r="G23" s="10">
        <f>Components!C22/E23</f>
        <v>0.16321433583909029</v>
      </c>
      <c r="H23" s="10">
        <f>SUM(Components!D22:G22)/E23</f>
        <v>7.5897972211227169E-2</v>
      </c>
      <c r="I23" s="10">
        <v>0.2391123080503175</v>
      </c>
      <c r="J23" s="10">
        <v>0.2391123080503175</v>
      </c>
    </row>
    <row r="24" spans="1:10" ht="24" customHeight="1">
      <c r="A24" s="5" t="s">
        <v>23</v>
      </c>
      <c r="B24" s="5" t="s">
        <v>19</v>
      </c>
      <c r="C24" s="5" t="s">
        <v>44</v>
      </c>
      <c r="D24" s="6">
        <f>Components!H23</f>
        <v>440249541.96949852</v>
      </c>
      <c r="E24" s="6">
        <f>Components!N23</f>
        <v>2330000541.9694986</v>
      </c>
      <c r="F24" s="10">
        <f t="shared" si="0"/>
        <v>0.18894825732416576</v>
      </c>
      <c r="G24" s="10">
        <f>Components!C23/E24</f>
        <v>9.6696640168828507E-2</v>
      </c>
      <c r="H24" s="10">
        <f>SUM(Components!D23:G23)/E24</f>
        <v>9.2251617155337265E-2</v>
      </c>
      <c r="I24" s="10">
        <v>0.18894825732416576</v>
      </c>
      <c r="J24" s="10">
        <v>0.18894825732416576</v>
      </c>
    </row>
    <row r="25" spans="1:10" ht="24" customHeight="1">
      <c r="A25" s="7" t="s">
        <v>24</v>
      </c>
      <c r="B25" s="7" t="s">
        <v>16</v>
      </c>
      <c r="C25" s="7" t="s">
        <v>45</v>
      </c>
      <c r="D25" s="8">
        <f>Components!H24</f>
        <v>195611700.76108658</v>
      </c>
      <c r="E25" s="8">
        <f>Components!N24</f>
        <v>336141700.76108658</v>
      </c>
      <c r="F25" s="11">
        <f t="shared" si="0"/>
        <v>0.58193226344183346</v>
      </c>
      <c r="G25" s="11">
        <f>Components!C24/E25</f>
        <v>0.4679117670920091</v>
      </c>
      <c r="H25" s="11">
        <f>SUM(Components!D24:G24)/E25</f>
        <v>0.11402049634982434</v>
      </c>
      <c r="I25" s="11">
        <v>0.58193226344183346</v>
      </c>
      <c r="J25" s="11">
        <v>0.59062066185032069</v>
      </c>
    </row>
    <row r="26" spans="1:10" ht="24" customHeight="1">
      <c r="A26" s="7" t="s">
        <v>24</v>
      </c>
      <c r="B26" s="7" t="s">
        <v>17</v>
      </c>
      <c r="C26" s="7" t="s">
        <v>45</v>
      </c>
      <c r="D26" s="8">
        <f>Components!H25</f>
        <v>242252053.78461483</v>
      </c>
      <c r="E26" s="8">
        <f>Components!N25</f>
        <v>568328053.7846148</v>
      </c>
      <c r="F26" s="11">
        <f t="shared" si="0"/>
        <v>0.42625390770595956</v>
      </c>
      <c r="G26" s="11">
        <f>Components!C25/E26</f>
        <v>0.33793843667362883</v>
      </c>
      <c r="H26" s="11">
        <f>SUM(Components!D25:G25)/E26</f>
        <v>8.8315471032330728E-2</v>
      </c>
      <c r="I26" s="11">
        <v>0.42625390770595956</v>
      </c>
      <c r="J26" s="11">
        <v>0.43600363631396194</v>
      </c>
    </row>
    <row r="27" spans="1:10" ht="24" customHeight="1">
      <c r="A27" s="7" t="s">
        <v>24</v>
      </c>
      <c r="B27" s="7" t="s">
        <v>18</v>
      </c>
      <c r="C27" s="7" t="s">
        <v>45</v>
      </c>
      <c r="D27" s="8">
        <f>Components!H26</f>
        <v>625588534.75951481</v>
      </c>
      <c r="E27" s="8">
        <f>Components!N26</f>
        <v>2759182534.7595148</v>
      </c>
      <c r="F27" s="11">
        <f t="shared" si="0"/>
        <v>0.22672966607989925</v>
      </c>
      <c r="G27" s="11">
        <f>Components!C26/E27</f>
        <v>0.15394353326144364</v>
      </c>
      <c r="H27" s="11">
        <f>SUM(Components!D26:G26)/E27</f>
        <v>7.2786132818455612E-2</v>
      </c>
      <c r="I27" s="11">
        <v>0.22591290419381385</v>
      </c>
      <c r="J27" s="11">
        <v>0.22672966607989925</v>
      </c>
    </row>
    <row r="28" spans="1:10" ht="24" customHeight="1">
      <c r="A28" s="7" t="s">
        <v>24</v>
      </c>
      <c r="B28" s="7" t="s">
        <v>19</v>
      </c>
      <c r="C28" s="7" t="s">
        <v>45</v>
      </c>
      <c r="D28" s="8">
        <f>Components!H27</f>
        <v>488547710.69478393</v>
      </c>
      <c r="E28" s="8">
        <f>Components!N27</f>
        <v>2600352710.6947842</v>
      </c>
      <c r="F28" s="11">
        <f t="shared" si="0"/>
        <v>0.1878774785764542</v>
      </c>
      <c r="G28" s="11">
        <f>Components!C27/E28</f>
        <v>9.3496974633536969E-2</v>
      </c>
      <c r="H28" s="11">
        <f>SUM(Components!D27:G27)/E28</f>
        <v>9.4380503942917249E-2</v>
      </c>
      <c r="I28" s="11">
        <v>0.18346648241923377</v>
      </c>
      <c r="J28" s="11">
        <v>0.1878774785764542</v>
      </c>
    </row>
    <row r="29" spans="1:10" ht="24" customHeight="1">
      <c r="A29" s="7" t="s">
        <v>25</v>
      </c>
      <c r="B29" s="7" t="s">
        <v>16</v>
      </c>
      <c r="C29" s="7" t="s">
        <v>45</v>
      </c>
      <c r="D29" s="8">
        <f>Components!H28</f>
        <v>196942048.57653043</v>
      </c>
      <c r="E29" s="8">
        <f>Components!N28</f>
        <v>350251048.57653046</v>
      </c>
      <c r="F29" s="11">
        <f t="shared" si="0"/>
        <v>0.56228824832054214</v>
      </c>
      <c r="G29" s="11">
        <f>Components!C28/E29</f>
        <v>0.44906263046366413</v>
      </c>
      <c r="H29" s="11">
        <f>SUM(Components!D28:G28)/E29</f>
        <v>0.11322561785687799</v>
      </c>
      <c r="I29" s="11">
        <v>0.56228824832054214</v>
      </c>
      <c r="J29" s="11">
        <v>0.57102576396369453</v>
      </c>
    </row>
    <row r="30" spans="1:10" ht="24" customHeight="1">
      <c r="A30" s="7" t="s">
        <v>25</v>
      </c>
      <c r="B30" s="7" t="s">
        <v>17</v>
      </c>
      <c r="C30" s="7" t="s">
        <v>45</v>
      </c>
      <c r="D30" s="8">
        <f>Components!H29</f>
        <v>242213821.26257089</v>
      </c>
      <c r="E30" s="8">
        <f>Components!N29</f>
        <v>590778821.26257086</v>
      </c>
      <c r="F30" s="11">
        <f t="shared" si="0"/>
        <v>0.40999069794839393</v>
      </c>
      <c r="G30" s="11">
        <f>Components!C29/E30</f>
        <v>0.32509610551590512</v>
      </c>
      <c r="H30" s="11">
        <f>SUM(Components!D29:G29)/E30</f>
        <v>8.4894592432488786E-2</v>
      </c>
      <c r="I30" s="11">
        <v>0.40999069794839388</v>
      </c>
      <c r="J30" s="11">
        <v>0.41964201020622843</v>
      </c>
    </row>
    <row r="31" spans="1:10" ht="24" customHeight="1">
      <c r="A31" s="7" t="s">
        <v>25</v>
      </c>
      <c r="B31" s="7" t="s">
        <v>18</v>
      </c>
      <c r="C31" s="7" t="s">
        <v>45</v>
      </c>
      <c r="D31" s="8">
        <f>Components!H30</f>
        <v>634798706.36284959</v>
      </c>
      <c r="E31" s="8">
        <f>Components!N30</f>
        <v>2859382706.3628497</v>
      </c>
      <c r="F31" s="11">
        <f t="shared" si="0"/>
        <v>0.22200550662569998</v>
      </c>
      <c r="G31" s="11">
        <f>Components!C30/E31</f>
        <v>0.14854895336988333</v>
      </c>
      <c r="H31" s="11">
        <f>SUM(Components!D30:G30)/E31</f>
        <v>7.3456553255816667E-2</v>
      </c>
      <c r="I31" s="11">
        <v>0.22121258053355713</v>
      </c>
      <c r="J31" s="11">
        <v>0.22200550662569998</v>
      </c>
    </row>
    <row r="32" spans="1:10" ht="24" customHeight="1">
      <c r="A32" s="7" t="s">
        <v>25</v>
      </c>
      <c r="B32" s="7" t="s">
        <v>19</v>
      </c>
      <c r="C32" s="7" t="s">
        <v>45</v>
      </c>
      <c r="D32" s="8">
        <f>Components!H31</f>
        <v>478045423.79804927</v>
      </c>
      <c r="E32" s="8">
        <f>Components!N31</f>
        <v>2522115423.798049</v>
      </c>
      <c r="F32" s="11">
        <f t="shared" si="0"/>
        <v>0.1895414536889678</v>
      </c>
      <c r="G32" s="11">
        <f>Components!C31/E32</f>
        <v>9.6397297735072607E-2</v>
      </c>
      <c r="H32" s="11">
        <f>SUM(Components!D31:G31)/E32</f>
        <v>9.3144155953895177E-2</v>
      </c>
      <c r="I32" s="11">
        <v>0.18500217955211851</v>
      </c>
      <c r="J32" s="11">
        <v>0.18954145368896777</v>
      </c>
    </row>
    <row r="33" spans="1:10" ht="24" customHeight="1">
      <c r="A33" s="7" t="s">
        <v>26</v>
      </c>
      <c r="B33" s="7" t="s">
        <v>16</v>
      </c>
      <c r="C33" s="7" t="s">
        <v>45</v>
      </c>
      <c r="D33" s="8">
        <f>Components!H32</f>
        <v>196666981.29638085</v>
      </c>
      <c r="E33" s="8">
        <f>Components!N32</f>
        <v>361817981.29638088</v>
      </c>
      <c r="F33" s="11">
        <f t="shared" si="0"/>
        <v>0.54355225959674558</v>
      </c>
      <c r="G33" s="11">
        <f>Components!C32/E33</f>
        <v>0.43470657990210454</v>
      </c>
      <c r="H33" s="11">
        <f>SUM(Components!D32:G32)/E33</f>
        <v>0.10884567969464098</v>
      </c>
      <c r="I33" s="11">
        <v>0.54355225959674558</v>
      </c>
      <c r="J33" s="11">
        <v>0.5523781261310079</v>
      </c>
    </row>
    <row r="34" spans="1:10" ht="24" customHeight="1">
      <c r="A34" s="7" t="s">
        <v>26</v>
      </c>
      <c r="B34" s="7" t="s">
        <v>17</v>
      </c>
      <c r="C34" s="7" t="s">
        <v>45</v>
      </c>
      <c r="D34" s="8">
        <f>Components!H33</f>
        <v>242575458.52767986</v>
      </c>
      <c r="E34" s="8">
        <f>Components!N33</f>
        <v>610672458.52767992</v>
      </c>
      <c r="F34" s="11">
        <f t="shared" si="0"/>
        <v>0.39722678686463908</v>
      </c>
      <c r="G34" s="11">
        <f>Components!C33/E34</f>
        <v>0.31450557714161803</v>
      </c>
      <c r="H34" s="11">
        <f>SUM(Components!D33:G33)/E34</f>
        <v>8.2721209723021022E-2</v>
      </c>
      <c r="I34" s="11">
        <v>0.39722678686463908</v>
      </c>
      <c r="J34" s="11">
        <v>0.4067707670160417</v>
      </c>
    </row>
    <row r="35" spans="1:10" ht="24" customHeight="1">
      <c r="A35" s="7" t="s">
        <v>26</v>
      </c>
      <c r="B35" s="7" t="s">
        <v>18</v>
      </c>
      <c r="C35" s="7" t="s">
        <v>45</v>
      </c>
      <c r="D35" s="8">
        <f>Components!H34</f>
        <v>640448157.01306081</v>
      </c>
      <c r="E35" s="8">
        <f>Components!N34</f>
        <v>3042993157.0130606</v>
      </c>
      <c r="F35" s="11">
        <f t="shared" si="0"/>
        <v>0.21046651239982134</v>
      </c>
      <c r="G35" s="11">
        <f>Components!C34/E35</f>
        <v>0.13958569290082787</v>
      </c>
      <c r="H35" s="11">
        <f>SUM(Components!D34:G34)/E35</f>
        <v>7.0880819498993511E-2</v>
      </c>
      <c r="I35" s="11">
        <v>0.2097104261420312</v>
      </c>
      <c r="J35" s="11">
        <v>0.21046651239982134</v>
      </c>
    </row>
    <row r="36" spans="1:10" ht="24" customHeight="1">
      <c r="A36" s="7" t="s">
        <v>26</v>
      </c>
      <c r="B36" s="7" t="s">
        <v>19</v>
      </c>
      <c r="C36" s="7" t="s">
        <v>45</v>
      </c>
      <c r="D36" s="8">
        <f>Components!H35</f>
        <v>472309403.16287857</v>
      </c>
      <c r="E36" s="8">
        <f>Components!N35</f>
        <v>2566727403.1628785</v>
      </c>
      <c r="F36" s="11">
        <f t="shared" si="0"/>
        <v>0.18401229619509654</v>
      </c>
      <c r="G36" s="11">
        <f>Components!C35/E36</f>
        <v>9.472182793174129E-2</v>
      </c>
      <c r="H36" s="11">
        <f>SUM(Components!D35:G35)/E36</f>
        <v>8.9290468263355238E-2</v>
      </c>
      <c r="I36" s="11">
        <v>0.17952192591576682</v>
      </c>
      <c r="J36" s="11">
        <v>0.18401229619509651</v>
      </c>
    </row>
    <row r="37" spans="1:10" ht="24" customHeight="1">
      <c r="A37" s="7" t="s">
        <v>27</v>
      </c>
      <c r="B37" s="7" t="s">
        <v>16</v>
      </c>
      <c r="C37" s="7" t="s">
        <v>45</v>
      </c>
      <c r="D37" s="8">
        <f>Components!H36</f>
        <v>199146246.88146135</v>
      </c>
      <c r="E37" s="8">
        <f>Components!N36</f>
        <v>372652246.88146138</v>
      </c>
      <c r="F37" s="11">
        <f t="shared" ref="F37:F68" si="1">D37/E37</f>
        <v>0.53440237794892098</v>
      </c>
      <c r="G37" s="11">
        <f>Components!C36/E37</f>
        <v>0.42206818424595394</v>
      </c>
      <c r="H37" s="11">
        <f>SUM(Components!D36:G36)/E37</f>
        <v>0.11233419370296709</v>
      </c>
      <c r="I37" s="11">
        <v>0.53440237794892098</v>
      </c>
      <c r="J37" s="11">
        <v>0.54386236345598804</v>
      </c>
    </row>
    <row r="38" spans="1:10" ht="24" customHeight="1">
      <c r="A38" s="7" t="s">
        <v>27</v>
      </c>
      <c r="B38" s="7" t="s">
        <v>17</v>
      </c>
      <c r="C38" s="7" t="s">
        <v>45</v>
      </c>
      <c r="D38" s="8">
        <f>Components!H37</f>
        <v>245411126.92725042</v>
      </c>
      <c r="E38" s="8">
        <f>Components!N37</f>
        <v>622776126.92725039</v>
      </c>
      <c r="F38" s="11">
        <f t="shared" si="1"/>
        <v>0.3940599459682213</v>
      </c>
      <c r="G38" s="11">
        <f>Components!C37/E38</f>
        <v>0.30839315399155348</v>
      </c>
      <c r="H38" s="11">
        <f>SUM(Components!D37:G37)/E38</f>
        <v>8.5666791976667794E-2</v>
      </c>
      <c r="I38" s="11">
        <v>0.39405994596822125</v>
      </c>
      <c r="J38" s="11">
        <v>0.40424153789930817</v>
      </c>
    </row>
    <row r="39" spans="1:10" ht="24" customHeight="1">
      <c r="A39" s="7" t="s">
        <v>27</v>
      </c>
      <c r="B39" s="7" t="s">
        <v>18</v>
      </c>
      <c r="C39" s="7" t="s">
        <v>45</v>
      </c>
      <c r="D39" s="8">
        <f>Components!H38</f>
        <v>650028184.41047323</v>
      </c>
      <c r="E39" s="8">
        <f>Components!N38</f>
        <v>3201756184.4104733</v>
      </c>
      <c r="F39" s="11">
        <f t="shared" si="1"/>
        <v>0.20302238739336123</v>
      </c>
      <c r="G39" s="11">
        <f>Components!C38/E39</f>
        <v>0.13266416424283561</v>
      </c>
      <c r="H39" s="11">
        <f>SUM(Components!D38:G38)/E39</f>
        <v>7.0358223150525603E-2</v>
      </c>
      <c r="I39" s="11">
        <v>0.20223654753372852</v>
      </c>
      <c r="J39" s="11">
        <v>0.20302238739336123</v>
      </c>
    </row>
    <row r="40" spans="1:10" ht="24" customHeight="1">
      <c r="A40" s="7" t="s">
        <v>27</v>
      </c>
      <c r="B40" s="7" t="s">
        <v>19</v>
      </c>
      <c r="C40" s="7" t="s">
        <v>45</v>
      </c>
      <c r="D40" s="8">
        <f>Components!H39</f>
        <v>483414441.78081518</v>
      </c>
      <c r="E40" s="8">
        <f>Components!N39</f>
        <v>2681564441.7808151</v>
      </c>
      <c r="F40" s="11">
        <f t="shared" si="1"/>
        <v>0.18027328907291962</v>
      </c>
      <c r="G40" s="11">
        <f>Components!C39/E40</f>
        <v>9.0665399511570571E-2</v>
      </c>
      <c r="H40" s="11">
        <f>SUM(Components!D39:G39)/E40</f>
        <v>8.9607889561349047E-2</v>
      </c>
      <c r="I40" s="11">
        <v>0.17559475781845016</v>
      </c>
      <c r="J40" s="11">
        <v>0.18027328907291962</v>
      </c>
    </row>
    <row r="41" spans="1:10" ht="24" customHeight="1">
      <c r="A41" s="5" t="s">
        <v>28</v>
      </c>
      <c r="B41" s="5" t="s">
        <v>16</v>
      </c>
      <c r="C41" s="5" t="s">
        <v>44</v>
      </c>
      <c r="D41" s="6">
        <f>Components!H40</f>
        <v>203705442.17740819</v>
      </c>
      <c r="E41" s="6">
        <f>Components!N40</f>
        <v>374521442.17740822</v>
      </c>
      <c r="F41" s="10">
        <f t="shared" si="1"/>
        <v>0.5439086237442029</v>
      </c>
      <c r="G41" s="10">
        <f>Components!C40/E41</f>
        <v>0.4349300618223077</v>
      </c>
      <c r="H41" s="10">
        <f>SUM(Components!D40:G40)/E41</f>
        <v>0.10897856192189524</v>
      </c>
      <c r="I41" s="10">
        <v>0.5439086237442029</v>
      </c>
      <c r="J41" s="10">
        <v>0.5439086237442029</v>
      </c>
    </row>
    <row r="42" spans="1:10" ht="24" customHeight="1">
      <c r="A42" s="5" t="s">
        <v>28</v>
      </c>
      <c r="B42" s="5" t="s">
        <v>17</v>
      </c>
      <c r="C42" s="5" t="s">
        <v>44</v>
      </c>
      <c r="D42" s="6">
        <f>Components!H41</f>
        <v>252090851.45414037</v>
      </c>
      <c r="E42" s="6">
        <f>Components!N41</f>
        <v>623627851.45414042</v>
      </c>
      <c r="F42" s="10">
        <f t="shared" si="1"/>
        <v>0.40423283031110474</v>
      </c>
      <c r="G42" s="10">
        <f>Components!C41/E42</f>
        <v>0.31894877295201568</v>
      </c>
      <c r="H42" s="10">
        <f>SUM(Components!D41:G41)/E42</f>
        <v>8.5284057359089033E-2</v>
      </c>
      <c r="I42" s="10">
        <v>0.40423283031110474</v>
      </c>
      <c r="J42" s="10">
        <v>0.40423283031110474</v>
      </c>
    </row>
    <row r="43" spans="1:10" ht="24" customHeight="1">
      <c r="A43" s="5" t="s">
        <v>28</v>
      </c>
      <c r="B43" s="5" t="s">
        <v>18</v>
      </c>
      <c r="C43" s="5" t="s">
        <v>44</v>
      </c>
      <c r="D43" s="6">
        <f>Components!H42</f>
        <v>660636478.66780627</v>
      </c>
      <c r="E43" s="6">
        <f>Components!N42</f>
        <v>3041324478.6678061</v>
      </c>
      <c r="F43" s="10">
        <f t="shared" si="1"/>
        <v>0.21721999191522814</v>
      </c>
      <c r="G43" s="10">
        <f>Components!C42/E43</f>
        <v>0.14464015500006389</v>
      </c>
      <c r="H43" s="10">
        <f>SUM(Components!D42:G42)/E43</f>
        <v>7.2579836915164259E-2</v>
      </c>
      <c r="I43" s="10">
        <v>0.21721999191522814</v>
      </c>
      <c r="J43" s="10">
        <v>0.21721999191522814</v>
      </c>
    </row>
    <row r="44" spans="1:10" ht="24" customHeight="1">
      <c r="A44" s="5" t="s">
        <v>28</v>
      </c>
      <c r="B44" s="5" t="s">
        <v>19</v>
      </c>
      <c r="C44" s="5" t="s">
        <v>44</v>
      </c>
      <c r="D44" s="6">
        <f>Components!H43</f>
        <v>505954532.70064509</v>
      </c>
      <c r="E44" s="6">
        <f>Components!N43</f>
        <v>2672400532.700645</v>
      </c>
      <c r="F44" s="10">
        <f t="shared" si="1"/>
        <v>0.18932586134060644</v>
      </c>
      <c r="G44" s="10">
        <f>Components!C43/E44</f>
        <v>9.6922924475787917E-2</v>
      </c>
      <c r="H44" s="10">
        <f>SUM(Components!D43:G43)/E44</f>
        <v>9.2402936864818541E-2</v>
      </c>
      <c r="I44" s="10">
        <v>0.18932586134060644</v>
      </c>
      <c r="J44" s="10">
        <v>0.18932586134060644</v>
      </c>
    </row>
    <row r="45" spans="1:10" ht="24" customHeight="1">
      <c r="A45" s="5" t="s">
        <v>29</v>
      </c>
      <c r="B45" s="5" t="s">
        <v>16</v>
      </c>
      <c r="C45" s="5" t="s">
        <v>44</v>
      </c>
      <c r="D45" s="6">
        <f>Components!H44</f>
        <v>202589891.67571402</v>
      </c>
      <c r="E45" s="6">
        <f>Components!N44</f>
        <v>374931891.67571402</v>
      </c>
      <c r="F45" s="10">
        <f t="shared" si="1"/>
        <v>0.54033784848299327</v>
      </c>
      <c r="G45" s="10">
        <f>Components!C44/E45</f>
        <v>0.43445393047782482</v>
      </c>
      <c r="H45" s="10">
        <f>SUM(Components!D44:G44)/E45</f>
        <v>0.10588391800516847</v>
      </c>
      <c r="I45" s="10">
        <v>0.54033784848299327</v>
      </c>
      <c r="J45" s="10">
        <v>0.54033784848299327</v>
      </c>
    </row>
    <row r="46" spans="1:10" ht="24" customHeight="1">
      <c r="A46" s="5" t="s">
        <v>29</v>
      </c>
      <c r="B46" s="5" t="s">
        <v>17</v>
      </c>
      <c r="C46" s="5" t="s">
        <v>44</v>
      </c>
      <c r="D46" s="6">
        <f>Components!H45</f>
        <v>250832129.58364251</v>
      </c>
      <c r="E46" s="6">
        <f>Components!N45</f>
        <v>659658129.58364248</v>
      </c>
      <c r="F46" s="10">
        <f t="shared" si="1"/>
        <v>0.38024564290894231</v>
      </c>
      <c r="G46" s="10">
        <f>Components!C45/E46</f>
        <v>0.30152791132210166</v>
      </c>
      <c r="H46" s="10">
        <f>SUM(Components!D45:G45)/E46</f>
        <v>7.8717731586840645E-2</v>
      </c>
      <c r="I46" s="10">
        <v>0.38024564290894231</v>
      </c>
      <c r="J46" s="10">
        <v>0.38024564290894231</v>
      </c>
    </row>
    <row r="47" spans="1:10" ht="24" customHeight="1">
      <c r="A47" s="5" t="s">
        <v>29</v>
      </c>
      <c r="B47" s="5" t="s">
        <v>18</v>
      </c>
      <c r="C47" s="5" t="s">
        <v>44</v>
      </c>
      <c r="D47" s="6">
        <f>Components!H46</f>
        <v>664049189.484653</v>
      </c>
      <c r="E47" s="6">
        <f>Components!N46</f>
        <v>3084055189.484653</v>
      </c>
      <c r="F47" s="10">
        <f t="shared" si="1"/>
        <v>0.21531689567319834</v>
      </c>
      <c r="G47" s="10">
        <f>Components!C46/E47</f>
        <v>0.14263611283606994</v>
      </c>
      <c r="H47" s="10">
        <f>SUM(Components!D46:G46)/E47</f>
        <v>7.2680782837128421E-2</v>
      </c>
      <c r="I47" s="10">
        <v>0.21531689567319834</v>
      </c>
      <c r="J47" s="10">
        <v>0.21531689567319834</v>
      </c>
    </row>
    <row r="48" spans="1:10" ht="24" customHeight="1">
      <c r="A48" s="5" t="s">
        <v>29</v>
      </c>
      <c r="B48" s="5" t="s">
        <v>19</v>
      </c>
      <c r="C48" s="5" t="s">
        <v>44</v>
      </c>
      <c r="D48" s="6">
        <f>Components!H47</f>
        <v>504915906.25599033</v>
      </c>
      <c r="E48" s="6">
        <f>Components!N47</f>
        <v>2729083906.25599</v>
      </c>
      <c r="F48" s="10">
        <f t="shared" si="1"/>
        <v>0.1850129653758725</v>
      </c>
      <c r="G48" s="10">
        <f>Components!C47/E48</f>
        <v>9.4909824650772037E-2</v>
      </c>
      <c r="H48" s="10">
        <f>SUM(Components!D47:G47)/E48</f>
        <v>9.010314072510045E-2</v>
      </c>
      <c r="I48" s="10">
        <v>0.18501296537587245</v>
      </c>
      <c r="J48" s="10">
        <v>0.18501296537587245</v>
      </c>
    </row>
    <row r="49" spans="1:10" ht="24" customHeight="1">
      <c r="A49" s="5" t="s">
        <v>30</v>
      </c>
      <c r="B49" s="5" t="s">
        <v>16</v>
      </c>
      <c r="C49" s="5" t="s">
        <v>44</v>
      </c>
      <c r="D49" s="6">
        <f>Components!H48</f>
        <v>203019935.7146973</v>
      </c>
      <c r="E49" s="6">
        <f>Components!N48</f>
        <v>392388935.7146973</v>
      </c>
      <c r="F49" s="10">
        <f t="shared" si="1"/>
        <v>0.5173946491251511</v>
      </c>
      <c r="G49" s="10">
        <f>Components!C48/E49</f>
        <v>0.41512545123962519</v>
      </c>
      <c r="H49" s="10">
        <f>SUM(Components!D48:G48)/E49</f>
        <v>0.10226919788552592</v>
      </c>
      <c r="I49" s="10">
        <v>0.5173946491251511</v>
      </c>
      <c r="J49" s="10">
        <v>0.5173946491251511</v>
      </c>
    </row>
    <row r="50" spans="1:10" ht="24" customHeight="1">
      <c r="A50" s="5" t="s">
        <v>30</v>
      </c>
      <c r="B50" s="5" t="s">
        <v>17</v>
      </c>
      <c r="C50" s="5" t="s">
        <v>44</v>
      </c>
      <c r="D50" s="6">
        <f>Components!H49</f>
        <v>251787742.04033217</v>
      </c>
      <c r="E50" s="6">
        <f>Components!N49</f>
        <v>707456742.0403322</v>
      </c>
      <c r="F50" s="10">
        <f t="shared" si="1"/>
        <v>0.35590549510372427</v>
      </c>
      <c r="G50" s="10">
        <f>Components!C49/E50</f>
        <v>0.28115547733187107</v>
      </c>
      <c r="H50" s="10">
        <f>SUM(Components!D49:G49)/E50</f>
        <v>7.4750017771853167E-2</v>
      </c>
      <c r="I50" s="10">
        <v>0.35590549510372427</v>
      </c>
      <c r="J50" s="10">
        <v>0.35590549510372427</v>
      </c>
    </row>
    <row r="51" spans="1:10" ht="24" customHeight="1">
      <c r="A51" s="5" t="s">
        <v>30</v>
      </c>
      <c r="B51" s="5" t="s">
        <v>18</v>
      </c>
      <c r="C51" s="5" t="s">
        <v>44</v>
      </c>
      <c r="D51" s="6">
        <f>Components!H50</f>
        <v>663001082.63333499</v>
      </c>
      <c r="E51" s="6">
        <f>Components!N50</f>
        <v>3166444082.6333351</v>
      </c>
      <c r="F51" s="10">
        <f t="shared" si="1"/>
        <v>0.20938348043776542</v>
      </c>
      <c r="G51" s="10">
        <f>Components!C50/E51</f>
        <v>0.13892481045620247</v>
      </c>
      <c r="H51" s="10">
        <f>SUM(Components!D50:G50)/E51</f>
        <v>7.0458669981562916E-2</v>
      </c>
      <c r="I51" s="10">
        <v>0.20938348043776539</v>
      </c>
      <c r="J51" s="10">
        <v>0.20938348043776539</v>
      </c>
    </row>
    <row r="52" spans="1:10" ht="24" customHeight="1">
      <c r="A52" s="5" t="s">
        <v>30</v>
      </c>
      <c r="B52" s="5" t="s">
        <v>19</v>
      </c>
      <c r="C52" s="5" t="s">
        <v>44</v>
      </c>
      <c r="D52" s="6">
        <f>Components!H51</f>
        <v>504578387.61163557</v>
      </c>
      <c r="E52" s="6">
        <f>Components!N51</f>
        <v>2969078387.6116357</v>
      </c>
      <c r="F52" s="10">
        <f t="shared" si="1"/>
        <v>0.16994444798661068</v>
      </c>
      <c r="G52" s="10">
        <f>Components!C51/E52</f>
        <v>8.7238139646544144E-2</v>
      </c>
      <c r="H52" s="10">
        <f>SUM(Components!D51:G51)/E52</f>
        <v>8.2706308340066564E-2</v>
      </c>
      <c r="I52" s="10">
        <v>0.16994444798661068</v>
      </c>
      <c r="J52" s="10">
        <v>0.16994444798661068</v>
      </c>
    </row>
    <row r="53" spans="1:10" ht="24" customHeight="1">
      <c r="A53" s="5" t="s">
        <v>31</v>
      </c>
      <c r="B53" s="5" t="s">
        <v>16</v>
      </c>
      <c r="C53" s="5" t="s">
        <v>44</v>
      </c>
      <c r="D53" s="6">
        <f>Components!H52</f>
        <v>254252464.35420018</v>
      </c>
      <c r="E53" s="6">
        <f>Components!N52</f>
        <v>458952464.35420018</v>
      </c>
      <c r="F53" s="10">
        <f t="shared" si="1"/>
        <v>0.55398431014410865</v>
      </c>
      <c r="G53" s="10">
        <f>Components!C52/E53</f>
        <v>0.44233902150555493</v>
      </c>
      <c r="H53" s="10">
        <f>SUM(Components!D52:G52)/E53</f>
        <v>0.11164528863855372</v>
      </c>
      <c r="I53" s="10">
        <v>0.55398431014410865</v>
      </c>
      <c r="J53" s="10">
        <v>0.55398431014410865</v>
      </c>
    </row>
    <row r="54" spans="1:10" ht="24" customHeight="1">
      <c r="A54" s="5" t="s">
        <v>31</v>
      </c>
      <c r="B54" s="5" t="s">
        <v>17</v>
      </c>
      <c r="C54" s="5" t="s">
        <v>44</v>
      </c>
      <c r="D54" s="6">
        <f>Components!H53</f>
        <v>294293977.91926318</v>
      </c>
      <c r="E54" s="6">
        <f>Components!N53</f>
        <v>797019977.91926312</v>
      </c>
      <c r="F54" s="10">
        <f t="shared" si="1"/>
        <v>0.36924291243936008</v>
      </c>
      <c r="G54" s="10">
        <f>Components!C53/E54</f>
        <v>0.28770206438065993</v>
      </c>
      <c r="H54" s="10">
        <f>SUM(Components!D53:G53)/E54</f>
        <v>8.1540848058700099E-2</v>
      </c>
      <c r="I54" s="10">
        <v>0.36924291243936003</v>
      </c>
      <c r="J54" s="10">
        <v>0.36924291243936003</v>
      </c>
    </row>
    <row r="55" spans="1:10" ht="24" customHeight="1">
      <c r="A55" s="5" t="s">
        <v>31</v>
      </c>
      <c r="B55" s="5" t="s">
        <v>18</v>
      </c>
      <c r="C55" s="5" t="s">
        <v>44</v>
      </c>
      <c r="D55" s="6">
        <f>Components!H54</f>
        <v>800040501.45071137</v>
      </c>
      <c r="E55" s="6">
        <f>Components!N54</f>
        <v>3394918501.4507113</v>
      </c>
      <c r="F55" s="10">
        <f t="shared" si="1"/>
        <v>0.23565823483209961</v>
      </c>
      <c r="G55" s="10">
        <f>Components!C54/E55</f>
        <v>0.15076932768232204</v>
      </c>
      <c r="H55" s="10">
        <f>SUM(Components!D54:G54)/E55</f>
        <v>8.4888907149777565E-2</v>
      </c>
      <c r="I55" s="10">
        <v>0.23565823483209963</v>
      </c>
      <c r="J55" s="10">
        <v>0.23565823483209963</v>
      </c>
    </row>
    <row r="56" spans="1:10" ht="24" customHeight="1">
      <c r="A56" s="5" t="s">
        <v>31</v>
      </c>
      <c r="B56" s="5" t="s">
        <v>19</v>
      </c>
      <c r="C56" s="5" t="s">
        <v>44</v>
      </c>
      <c r="D56" s="6">
        <f>Components!H55</f>
        <v>618639226.27582514</v>
      </c>
      <c r="E56" s="6">
        <f>Components!N55</f>
        <v>3209388226.275825</v>
      </c>
      <c r="F56" s="10">
        <f t="shared" si="1"/>
        <v>0.19275923716891499</v>
      </c>
      <c r="G56" s="10">
        <f>Components!C55/E56</f>
        <v>0.10016016584351155</v>
      </c>
      <c r="H56" s="10">
        <f>SUM(Components!D55:G55)/E56</f>
        <v>9.2599071325403459E-2</v>
      </c>
      <c r="I56" s="10">
        <v>0.19275923716891499</v>
      </c>
      <c r="J56" s="10">
        <v>0.19275923716891499</v>
      </c>
    </row>
    <row r="57" spans="1:10" ht="24" customHeight="1">
      <c r="A57" s="5" t="s">
        <v>32</v>
      </c>
      <c r="B57" s="5" t="s">
        <v>16</v>
      </c>
      <c r="C57" s="5" t="s">
        <v>44</v>
      </c>
      <c r="D57" s="6">
        <f>Components!H56</f>
        <v>255723887.00846669</v>
      </c>
      <c r="E57" s="6">
        <f>Components!N56</f>
        <v>449734887.00846672</v>
      </c>
      <c r="F57" s="10">
        <f t="shared" si="1"/>
        <v>0.56861029552206477</v>
      </c>
      <c r="G57" s="10">
        <f>Components!C56/E57</f>
        <v>0.45140501629836444</v>
      </c>
      <c r="H57" s="10">
        <f>SUM(Components!D56:G56)/E57</f>
        <v>0.1172052792237004</v>
      </c>
      <c r="I57" s="10">
        <v>0.56861029552206477</v>
      </c>
      <c r="J57" s="10">
        <v>0.56861029552206477</v>
      </c>
    </row>
    <row r="58" spans="1:10" ht="24" customHeight="1">
      <c r="A58" s="5" t="s">
        <v>32</v>
      </c>
      <c r="B58" s="5" t="s">
        <v>17</v>
      </c>
      <c r="C58" s="5" t="s">
        <v>44</v>
      </c>
      <c r="D58" s="6">
        <f>Components!H57</f>
        <v>295461706.27797019</v>
      </c>
      <c r="E58" s="6">
        <f>Components!N57</f>
        <v>814347706.27797019</v>
      </c>
      <c r="F58" s="10">
        <f t="shared" si="1"/>
        <v>0.36282008778338354</v>
      </c>
      <c r="G58" s="10">
        <f>Components!C57/E58</f>
        <v>0.28158032647755632</v>
      </c>
      <c r="H58" s="10">
        <f>SUM(Components!D57:G57)/E58</f>
        <v>8.123976130582726E-2</v>
      </c>
      <c r="I58" s="10">
        <v>0.36282008778338354</v>
      </c>
      <c r="J58" s="10">
        <v>0.36282008778338354</v>
      </c>
    </row>
    <row r="59" spans="1:10" ht="24" customHeight="1">
      <c r="A59" s="5" t="s">
        <v>32</v>
      </c>
      <c r="B59" s="5" t="s">
        <v>18</v>
      </c>
      <c r="C59" s="5" t="s">
        <v>44</v>
      </c>
      <c r="D59" s="6">
        <f>Components!H58</f>
        <v>797171443.61854959</v>
      </c>
      <c r="E59" s="6">
        <f>Components!N58</f>
        <v>3596132443.6185493</v>
      </c>
      <c r="F59" s="10">
        <f t="shared" si="1"/>
        <v>0.22167466190883917</v>
      </c>
      <c r="G59" s="10">
        <f>Components!C58/E59</f>
        <v>0.14233335062736446</v>
      </c>
      <c r="H59" s="10">
        <f>SUM(Components!D58:G58)/E59</f>
        <v>7.9341311281474702E-2</v>
      </c>
      <c r="I59" s="10">
        <v>0.22167466190883917</v>
      </c>
      <c r="J59" s="10">
        <v>0.22167466190883917</v>
      </c>
    </row>
    <row r="60" spans="1:10" ht="24" customHeight="1">
      <c r="A60" s="5" t="s">
        <v>32</v>
      </c>
      <c r="B60" s="5" t="s">
        <v>19</v>
      </c>
      <c r="C60" s="5" t="s">
        <v>44</v>
      </c>
      <c r="D60" s="6">
        <f>Components!H59</f>
        <v>625868806.0950135</v>
      </c>
      <c r="E60" s="6">
        <f>Components!N59</f>
        <v>3217229806.0950136</v>
      </c>
      <c r="F60" s="10">
        <f t="shared" si="1"/>
        <v>0.1945365559243889</v>
      </c>
      <c r="G60" s="10">
        <f>Components!C59/E60</f>
        <v>9.9916038447427774E-2</v>
      </c>
      <c r="H60" s="10">
        <f>SUM(Components!D59:G59)/E60</f>
        <v>9.4620517476961125E-2</v>
      </c>
      <c r="I60" s="10">
        <v>0.1945365559243889</v>
      </c>
      <c r="J60" s="10">
        <v>0.1945365559243889</v>
      </c>
    </row>
    <row r="61" spans="1:10" ht="24" customHeight="1">
      <c r="A61" s="5" t="s">
        <v>33</v>
      </c>
      <c r="B61" s="5" t="s">
        <v>16</v>
      </c>
      <c r="C61" s="5" t="s">
        <v>46</v>
      </c>
      <c r="D61" s="6">
        <f>Components!H60</f>
        <v>256477252.32359034</v>
      </c>
      <c r="E61" s="6">
        <f>Components!N60</f>
        <v>447623252.32359034</v>
      </c>
      <c r="F61" s="10">
        <f t="shared" si="1"/>
        <v>0.57297571337554409</v>
      </c>
      <c r="G61" s="10">
        <f>Components!C60/E61</f>
        <v>0.45344244506152331</v>
      </c>
      <c r="H61" s="10">
        <f>SUM(Components!D60:G60)/E61</f>
        <v>0.11953326831402074</v>
      </c>
      <c r="I61" s="10">
        <v>0.57297571337554409</v>
      </c>
      <c r="J61" s="10">
        <v>0.57297571337554409</v>
      </c>
    </row>
    <row r="62" spans="1:10" ht="24" customHeight="1">
      <c r="A62" s="5" t="s">
        <v>33</v>
      </c>
      <c r="B62" s="5" t="s">
        <v>17</v>
      </c>
      <c r="C62" s="5" t="s">
        <v>46</v>
      </c>
      <c r="D62" s="6">
        <f>Components!H61</f>
        <v>296192979.27871335</v>
      </c>
      <c r="E62" s="6">
        <f>Components!N61</f>
        <v>821047979.27871335</v>
      </c>
      <c r="F62" s="10">
        <f t="shared" si="1"/>
        <v>0.36074990348178854</v>
      </c>
      <c r="G62" s="10">
        <f>Components!C61/E62</f>
        <v>0.27922570396117624</v>
      </c>
      <c r="H62" s="10">
        <f>SUM(Components!D61:G61)/E62</f>
        <v>8.1524199520612309E-2</v>
      </c>
      <c r="I62" s="10">
        <v>0.36074990348178854</v>
      </c>
      <c r="J62" s="10">
        <v>0.36074990348178854</v>
      </c>
    </row>
    <row r="63" spans="1:10" ht="24" customHeight="1">
      <c r="A63" s="5" t="s">
        <v>33</v>
      </c>
      <c r="B63" s="5" t="s">
        <v>18</v>
      </c>
      <c r="C63" s="5" t="s">
        <v>46</v>
      </c>
      <c r="D63" s="6">
        <f>Components!H62</f>
        <v>797317132.19333303</v>
      </c>
      <c r="E63" s="6">
        <f>Components!N62</f>
        <v>3664936132.1933331</v>
      </c>
      <c r="F63" s="10">
        <f t="shared" si="1"/>
        <v>0.21755280404195401</v>
      </c>
      <c r="G63" s="10">
        <f>Components!C62/E63</f>
        <v>0.13963288978073912</v>
      </c>
      <c r="H63" s="10">
        <f>SUM(Components!D62:G62)/E63</f>
        <v>7.7919914261214918E-2</v>
      </c>
      <c r="I63" s="10">
        <v>0.21755280404195404</v>
      </c>
      <c r="J63" s="10">
        <v>0.21755280404195404</v>
      </c>
    </row>
    <row r="64" spans="1:10" ht="24" customHeight="1">
      <c r="A64" s="5" t="s">
        <v>33</v>
      </c>
      <c r="B64" s="5" t="s">
        <v>19</v>
      </c>
      <c r="C64" s="5" t="s">
        <v>46</v>
      </c>
      <c r="D64" s="6">
        <f>Components!H63</f>
        <v>630012628.20436311</v>
      </c>
      <c r="E64" s="6">
        <f>Components!N63</f>
        <v>3131903628.2043629</v>
      </c>
      <c r="F64" s="10">
        <f t="shared" si="1"/>
        <v>0.20115964697342006</v>
      </c>
      <c r="G64" s="10">
        <f>Components!C63/E64</f>
        <v>0.10261732261035869</v>
      </c>
      <c r="H64" s="10">
        <f>SUM(Components!D63:G63)/E64</f>
        <v>9.8542324363061359E-2</v>
      </c>
      <c r="I64" s="10">
        <v>0.20115964697342006</v>
      </c>
      <c r="J64" s="10">
        <v>0.20115964697342006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2"/>
  <sheetViews>
    <sheetView tabSelected="1" topLeftCell="E9" zoomScale="212" workbookViewId="0">
      <selection activeCell="S13" sqref="S13"/>
    </sheetView>
  </sheetViews>
  <sheetFormatPr baseColWidth="10" defaultColWidth="8.83203125" defaultRowHeight="15"/>
  <cols>
    <col min="1" max="1" width="15" customWidth="1"/>
    <col min="2" max="2" width="34" customWidth="1"/>
    <col min="3" max="8" width="18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20">
      <c r="A2" s="12" t="s">
        <v>47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>
      <c r="A3" s="13" t="s">
        <v>48</v>
      </c>
      <c r="B3" s="13"/>
      <c r="C3" s="13"/>
      <c r="D3" s="13"/>
      <c r="E3" s="13"/>
      <c r="F3" s="13"/>
      <c r="G3" s="13"/>
      <c r="H3" s="13"/>
      <c r="I3" s="5"/>
      <c r="J3" s="5"/>
      <c r="K3" s="5"/>
      <c r="L3" s="5"/>
      <c r="M3" s="5"/>
      <c r="N3" s="5"/>
      <c r="O3" s="5"/>
      <c r="P3" s="5"/>
    </row>
    <row r="4" spans="1:16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>
      <c r="A5" s="14" t="s">
        <v>49</v>
      </c>
      <c r="B5" s="15"/>
      <c r="C5" s="16"/>
      <c r="D5" s="5"/>
      <c r="E5" s="14" t="s">
        <v>50</v>
      </c>
      <c r="F5" s="15"/>
      <c r="G5" s="15"/>
      <c r="H5" s="16"/>
      <c r="I5" s="5"/>
      <c r="J5" s="5"/>
      <c r="K5" s="5"/>
      <c r="L5" s="5"/>
      <c r="M5" s="5"/>
      <c r="N5" s="5"/>
      <c r="O5" s="5"/>
      <c r="P5" s="5"/>
    </row>
    <row r="6" spans="1:16">
      <c r="A6" s="2" t="s">
        <v>3</v>
      </c>
      <c r="B6" s="3" t="s">
        <v>51</v>
      </c>
      <c r="C6" s="4" t="s">
        <v>52</v>
      </c>
      <c r="D6" s="5"/>
      <c r="E6" s="2" t="s">
        <v>53</v>
      </c>
      <c r="F6" s="3" t="s">
        <v>17</v>
      </c>
      <c r="G6" s="3" t="s">
        <v>18</v>
      </c>
      <c r="H6" s="4" t="s">
        <v>19</v>
      </c>
      <c r="I6" s="5"/>
      <c r="J6" s="5"/>
      <c r="K6" s="5"/>
      <c r="L6" s="5"/>
      <c r="M6" s="5"/>
      <c r="N6" s="5"/>
      <c r="O6" s="5"/>
      <c r="P6" s="5"/>
    </row>
    <row r="7" spans="1:16" ht="18">
      <c r="A7" s="18">
        <f>'Annual series'!G5</f>
        <v>0.54662609571287668</v>
      </c>
      <c r="B7" s="18">
        <f>'Annual series'!H5</f>
        <v>0.13534528326928438</v>
      </c>
      <c r="C7" s="18">
        <f>'Annual series'!F5</f>
        <v>0.68197137898216098</v>
      </c>
      <c r="D7" s="5"/>
      <c r="E7" s="19">
        <f>'Annual series'!F61</f>
        <v>0.57297571337554409</v>
      </c>
      <c r="F7" s="19">
        <f>'Annual series'!F62</f>
        <v>0.36074990348178854</v>
      </c>
      <c r="G7" s="19">
        <f>'Annual series'!F63</f>
        <v>0.21755280404195401</v>
      </c>
      <c r="H7" s="19">
        <f>'Annual series'!F64</f>
        <v>0.20115964697342006</v>
      </c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 ht="32" customHeight="1">
      <c r="A9" s="20" t="s">
        <v>54</v>
      </c>
      <c r="B9" s="20"/>
      <c r="C9" s="20"/>
      <c r="D9" s="20"/>
      <c r="E9" s="20"/>
      <c r="F9" s="20"/>
      <c r="G9" s="20"/>
      <c r="H9" s="20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2" t="s">
        <v>1</v>
      </c>
      <c r="B12" s="3" t="s">
        <v>16</v>
      </c>
      <c r="C12" s="3" t="s">
        <v>17</v>
      </c>
      <c r="D12" s="3" t="s">
        <v>18</v>
      </c>
      <c r="E12" s="4" t="s">
        <v>19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 t="s">
        <v>15</v>
      </c>
      <c r="B13" s="10">
        <f>'Annual series'!F5</f>
        <v>0.68197137898216098</v>
      </c>
      <c r="C13" s="10">
        <f>'Annual series'!F6</f>
        <v>0.46765445040884596</v>
      </c>
      <c r="D13" s="10">
        <f>'Annual series'!F7</f>
        <v>0.2922599523333515</v>
      </c>
      <c r="E13" s="10">
        <f>'Annual series'!F8</f>
        <v>0.23069118111479331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 t="s">
        <v>20</v>
      </c>
      <c r="B14" s="10">
        <f>'Annual series'!F9</f>
        <v>0.66679858495603572</v>
      </c>
      <c r="C14" s="10">
        <f>'Annual series'!F10</f>
        <v>0.47329607569374194</v>
      </c>
      <c r="D14" s="10">
        <f>'Annual series'!F11</f>
        <v>0.28079506294084511</v>
      </c>
      <c r="E14" s="10">
        <f>'Annual series'!F12</f>
        <v>0.22161664173403223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 t="s">
        <v>21</v>
      </c>
      <c r="B15" s="10">
        <f>'Annual series'!F13</f>
        <v>0.64229371564168036</v>
      </c>
      <c r="C15" s="10">
        <f>'Annual series'!F14</f>
        <v>0.45701973908149313</v>
      </c>
      <c r="D15" s="10">
        <f>'Annual series'!F15</f>
        <v>0.2738479329930259</v>
      </c>
      <c r="E15" s="10">
        <f>'Annual series'!F16</f>
        <v>0.20993336815069616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>
      <c r="A16" s="5" t="s">
        <v>22</v>
      </c>
      <c r="B16" s="10">
        <f>'Annual series'!F17</f>
        <v>0.62039759207603573</v>
      </c>
      <c r="C16" s="10">
        <f>'Annual series'!F18</f>
        <v>0.44330224354499559</v>
      </c>
      <c r="D16" s="10">
        <f>'Annual series'!F19</f>
        <v>0.25703084637729345</v>
      </c>
      <c r="E16" s="10">
        <f>'Annual series'!F20</f>
        <v>0.20433283141547517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5" t="s">
        <v>23</v>
      </c>
      <c r="B17" s="10">
        <f>'Annual series'!F21</f>
        <v>0.60573035075851478</v>
      </c>
      <c r="C17" s="10">
        <f>'Annual series'!F22</f>
        <v>0.43299680159633586</v>
      </c>
      <c r="D17" s="10">
        <f>'Annual series'!F23</f>
        <v>0.2391123080503175</v>
      </c>
      <c r="E17" s="10">
        <f>'Annual series'!F24</f>
        <v>0.18894825732416576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7" t="s">
        <v>24</v>
      </c>
      <c r="B18" s="11">
        <f>'Annual series'!F25</f>
        <v>0.58193226344183346</v>
      </c>
      <c r="C18" s="11">
        <f>'Annual series'!F26</f>
        <v>0.42625390770595956</v>
      </c>
      <c r="D18" s="11">
        <f>'Annual series'!F27</f>
        <v>0.22672966607989925</v>
      </c>
      <c r="E18" s="11">
        <f>'Annual series'!F28</f>
        <v>0.1878774785764542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7" t="s">
        <v>25</v>
      </c>
      <c r="B19" s="11">
        <f>'Annual series'!F29</f>
        <v>0.56228824832054214</v>
      </c>
      <c r="C19" s="11">
        <f>'Annual series'!F30</f>
        <v>0.40999069794839393</v>
      </c>
      <c r="D19" s="11">
        <f>'Annual series'!F31</f>
        <v>0.22200550662569998</v>
      </c>
      <c r="E19" s="11">
        <f>'Annual series'!F32</f>
        <v>0.1895414536889678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7" t="s">
        <v>26</v>
      </c>
      <c r="B20" s="11">
        <f>'Annual series'!F33</f>
        <v>0.54355225959674558</v>
      </c>
      <c r="C20" s="11">
        <f>'Annual series'!F34</f>
        <v>0.39722678686463908</v>
      </c>
      <c r="D20" s="11">
        <f>'Annual series'!F35</f>
        <v>0.21046651239982134</v>
      </c>
      <c r="E20" s="11">
        <f>'Annual series'!F36</f>
        <v>0.18401229619509654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7" t="s">
        <v>27</v>
      </c>
      <c r="B21" s="11">
        <f>'Annual series'!F37</f>
        <v>0.53440237794892098</v>
      </c>
      <c r="C21" s="11">
        <f>'Annual series'!F38</f>
        <v>0.3940599459682213</v>
      </c>
      <c r="D21" s="11">
        <f>'Annual series'!F39</f>
        <v>0.20302238739336123</v>
      </c>
      <c r="E21" s="11">
        <f>'Annual series'!F40</f>
        <v>0.18027328907291962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5" t="s">
        <v>28</v>
      </c>
      <c r="B22" s="10">
        <f>'Annual series'!F41</f>
        <v>0.5439086237442029</v>
      </c>
      <c r="C22" s="10">
        <f>'Annual series'!F42</f>
        <v>0.40423283031110474</v>
      </c>
      <c r="D22" s="10">
        <f>'Annual series'!F43</f>
        <v>0.21721999191522814</v>
      </c>
      <c r="E22" s="10">
        <f>'Annual series'!F44</f>
        <v>0.18932586134060644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5" t="s">
        <v>29</v>
      </c>
      <c r="B23" s="10">
        <f>'Annual series'!F45</f>
        <v>0.54033784848299327</v>
      </c>
      <c r="C23" s="10">
        <f>'Annual series'!F46</f>
        <v>0.38024564290894231</v>
      </c>
      <c r="D23" s="10">
        <f>'Annual series'!F47</f>
        <v>0.21531689567319834</v>
      </c>
      <c r="E23" s="10">
        <f>'Annual series'!F48</f>
        <v>0.1850129653758725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5" t="s">
        <v>30</v>
      </c>
      <c r="B24" s="10">
        <f>'Annual series'!F49</f>
        <v>0.5173946491251511</v>
      </c>
      <c r="C24" s="10">
        <f>'Annual series'!F50</f>
        <v>0.35590549510372427</v>
      </c>
      <c r="D24" s="10">
        <f>'Annual series'!F51</f>
        <v>0.20938348043776542</v>
      </c>
      <c r="E24" s="10">
        <f>'Annual series'!F52</f>
        <v>0.16994444798661068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5" t="s">
        <v>31</v>
      </c>
      <c r="B25" s="10">
        <f>'Annual series'!F53</f>
        <v>0.55398431014410865</v>
      </c>
      <c r="C25" s="10">
        <f>'Annual series'!F54</f>
        <v>0.36924291243936008</v>
      </c>
      <c r="D25" s="10">
        <f>'Annual series'!F55</f>
        <v>0.23565823483209961</v>
      </c>
      <c r="E25" s="10">
        <f>'Annual series'!F56</f>
        <v>0.19275923716891499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5" t="s">
        <v>32</v>
      </c>
      <c r="B26" s="10">
        <f>'Annual series'!F57</f>
        <v>0.56861029552206477</v>
      </c>
      <c r="C26" s="10">
        <f>'Annual series'!F58</f>
        <v>0.36282008778338354</v>
      </c>
      <c r="D26" s="10">
        <f>'Annual series'!F59</f>
        <v>0.22167466190883917</v>
      </c>
      <c r="E26" s="10">
        <f>'Annual series'!F60</f>
        <v>0.1945365559243889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</row>
    <row r="27" spans="1:16">
      <c r="A27" s="5" t="s">
        <v>33</v>
      </c>
      <c r="B27" s="10">
        <f>'Annual series'!F61</f>
        <v>0.57297571337554409</v>
      </c>
      <c r="C27" s="10">
        <f>'Annual series'!F62</f>
        <v>0.36074990348178854</v>
      </c>
      <c r="D27" s="10">
        <f>'Annual series'!F63</f>
        <v>0.21755280404195401</v>
      </c>
      <c r="E27" s="10">
        <f>'Annual series'!F64</f>
        <v>0.20115964697342006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</row>
    <row r="30" spans="1:16" ht="64" customHeight="1">
      <c r="A30" s="21" t="s">
        <v>55</v>
      </c>
      <c r="B30" s="22" t="s">
        <v>56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25"/>
  <sheetViews>
    <sheetView workbookViewId="0"/>
  </sheetViews>
  <sheetFormatPr baseColWidth="10" defaultColWidth="8.83203125" defaultRowHeight="15"/>
  <cols>
    <col min="1" max="1" width="24" customWidth="1"/>
    <col min="2" max="2" width="72" customWidth="1"/>
    <col min="3" max="3" width="62" customWidth="1"/>
    <col min="4" max="4" width="48" customWidth="1"/>
  </cols>
  <sheetData>
    <row r="2" spans="1:4" ht="20">
      <c r="A2" s="1" t="s">
        <v>57</v>
      </c>
    </row>
    <row r="4" spans="1:4">
      <c r="A4" s="2" t="s">
        <v>58</v>
      </c>
      <c r="B4" s="3" t="s">
        <v>59</v>
      </c>
      <c r="C4" s="3" t="s">
        <v>60</v>
      </c>
      <c r="D4" s="4" t="s">
        <v>61</v>
      </c>
    </row>
    <row r="5" spans="1:4" ht="69.25" customHeight="1">
      <c r="A5" s="24" t="s">
        <v>62</v>
      </c>
      <c r="B5" s="24" t="s">
        <v>63</v>
      </c>
      <c r="C5" s="24" t="s">
        <v>64</v>
      </c>
      <c r="D5" s="24" t="s">
        <v>65</v>
      </c>
    </row>
    <row r="6" spans="1:4" ht="69.25" customHeight="1">
      <c r="A6" s="24" t="s">
        <v>66</v>
      </c>
      <c r="B6" s="24" t="s">
        <v>67</v>
      </c>
      <c r="C6" s="24" t="s">
        <v>68</v>
      </c>
      <c r="D6" s="24" t="s">
        <v>69</v>
      </c>
    </row>
    <row r="7" spans="1:4" ht="69.25" customHeight="1">
      <c r="A7" s="24" t="s">
        <v>70</v>
      </c>
      <c r="B7" s="24" t="s">
        <v>71</v>
      </c>
      <c r="C7" s="24" t="s">
        <v>72</v>
      </c>
      <c r="D7" s="24" t="s">
        <v>73</v>
      </c>
    </row>
    <row r="8" spans="1:4" ht="69.25" customHeight="1">
      <c r="A8" s="24" t="s">
        <v>74</v>
      </c>
      <c r="B8" s="24" t="s">
        <v>75</v>
      </c>
      <c r="C8" s="24" t="s">
        <v>76</v>
      </c>
      <c r="D8" s="24" t="s">
        <v>77</v>
      </c>
    </row>
    <row r="9" spans="1:4" ht="69.25" customHeight="1">
      <c r="A9" s="24" t="s">
        <v>78</v>
      </c>
      <c r="B9" s="24" t="s">
        <v>79</v>
      </c>
      <c r="C9" s="24" t="s">
        <v>80</v>
      </c>
      <c r="D9" s="24" t="s">
        <v>81</v>
      </c>
    </row>
    <row r="10" spans="1:4" ht="69.25" customHeight="1">
      <c r="A10" s="24" t="s">
        <v>82</v>
      </c>
      <c r="B10" s="24" t="s">
        <v>83</v>
      </c>
      <c r="C10" s="24" t="s">
        <v>84</v>
      </c>
      <c r="D10" s="24" t="s">
        <v>85</v>
      </c>
    </row>
    <row r="11" spans="1:4" ht="69.25" customHeight="1">
      <c r="A11" s="24" t="s">
        <v>86</v>
      </c>
      <c r="B11" s="24" t="s">
        <v>87</v>
      </c>
      <c r="C11" s="24" t="s">
        <v>88</v>
      </c>
      <c r="D11" s="24" t="s">
        <v>89</v>
      </c>
    </row>
    <row r="12" spans="1:4" ht="69.25" customHeight="1">
      <c r="A12" s="24" t="s">
        <v>90</v>
      </c>
      <c r="B12" s="24" t="s">
        <v>91</v>
      </c>
      <c r="C12" s="24" t="s">
        <v>92</v>
      </c>
      <c r="D12" s="24" t="s">
        <v>93</v>
      </c>
    </row>
    <row r="13" spans="1:4" ht="69.25" customHeight="1">
      <c r="A13" s="24" t="s">
        <v>94</v>
      </c>
      <c r="B13" s="24" t="s">
        <v>95</v>
      </c>
      <c r="C13" s="24" t="s">
        <v>96</v>
      </c>
      <c r="D13" s="24" t="s">
        <v>97</v>
      </c>
    </row>
    <row r="14" spans="1:4" ht="69.25" customHeight="1">
      <c r="A14" s="24" t="s">
        <v>98</v>
      </c>
      <c r="B14" s="24" t="s">
        <v>99</v>
      </c>
      <c r="C14" s="24" t="s">
        <v>100</v>
      </c>
      <c r="D14" s="24" t="s">
        <v>101</v>
      </c>
    </row>
    <row r="15" spans="1:4" ht="69.25" customHeight="1">
      <c r="A15" s="24" t="s">
        <v>102</v>
      </c>
      <c r="B15" s="24" t="s">
        <v>103</v>
      </c>
      <c r="C15" s="24" t="s">
        <v>104</v>
      </c>
      <c r="D15" s="24" t="s">
        <v>105</v>
      </c>
    </row>
    <row r="16" spans="1:4" ht="69.25" customHeight="1">
      <c r="A16" s="24" t="s">
        <v>106</v>
      </c>
      <c r="B16" s="24" t="s">
        <v>107</v>
      </c>
      <c r="C16" s="24" t="s">
        <v>108</v>
      </c>
      <c r="D16" s="24" t="s">
        <v>109</v>
      </c>
    </row>
    <row r="19" spans="1:4">
      <c r="A19" s="25" t="s">
        <v>110</v>
      </c>
      <c r="B19" s="26"/>
      <c r="C19" s="26"/>
      <c r="D19" s="27"/>
    </row>
    <row r="20" spans="1:4">
      <c r="A20" s="2" t="s">
        <v>111</v>
      </c>
      <c r="B20" s="3" t="s">
        <v>112</v>
      </c>
      <c r="C20" s="4" t="s">
        <v>113</v>
      </c>
    </row>
    <row r="21" spans="1:4" ht="45.25" customHeight="1">
      <c r="A21" s="23" t="s">
        <v>114</v>
      </c>
      <c r="B21" s="23" t="s">
        <v>115</v>
      </c>
      <c r="C21" s="23" t="s">
        <v>116</v>
      </c>
    </row>
    <row r="22" spans="1:4" ht="45.25" customHeight="1">
      <c r="A22" s="23" t="s">
        <v>117</v>
      </c>
      <c r="B22" s="23" t="s">
        <v>118</v>
      </c>
      <c r="C22" s="23" t="s">
        <v>119</v>
      </c>
    </row>
    <row r="23" spans="1:4" ht="45.25" customHeight="1">
      <c r="A23" s="23" t="s">
        <v>120</v>
      </c>
      <c r="B23" s="23" t="s">
        <v>121</v>
      </c>
      <c r="C23" s="23" t="s">
        <v>122</v>
      </c>
    </row>
    <row r="24" spans="1:4" ht="45.25" customHeight="1">
      <c r="A24" s="23" t="s">
        <v>123</v>
      </c>
      <c r="B24" s="23" t="s">
        <v>124</v>
      </c>
      <c r="C24" s="23" t="s">
        <v>125</v>
      </c>
    </row>
    <row r="25" spans="1:4" ht="45.25" customHeight="1">
      <c r="A25" s="23" t="s">
        <v>126</v>
      </c>
      <c r="B25" s="23" t="s">
        <v>127</v>
      </c>
      <c r="C25" s="23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27"/>
  <sheetViews>
    <sheetView workbookViewId="0"/>
  </sheetViews>
  <sheetFormatPr baseColWidth="10" defaultColWidth="8.83203125" defaultRowHeight="15"/>
  <cols>
    <col min="1" max="1" width="32" customWidth="1"/>
    <col min="2" max="2" width="20" customWidth="1"/>
    <col min="3" max="3" width="58" customWidth="1"/>
    <col min="4" max="4" width="24" customWidth="1"/>
    <col min="5" max="5" width="12" customWidth="1"/>
  </cols>
  <sheetData>
    <row r="2" spans="1:5" ht="20">
      <c r="A2" s="1" t="s">
        <v>129</v>
      </c>
    </row>
    <row r="3" spans="1:5">
      <c r="A3" s="9" t="s">
        <v>130</v>
      </c>
      <c r="B3" s="9"/>
      <c r="C3" s="9"/>
      <c r="D3" s="9"/>
      <c r="E3" s="9"/>
    </row>
    <row r="5" spans="1:5">
      <c r="A5" s="2" t="s">
        <v>1</v>
      </c>
      <c r="B5" s="3" t="s">
        <v>131</v>
      </c>
      <c r="C5" s="3" t="s">
        <v>132</v>
      </c>
      <c r="D5" s="3" t="s">
        <v>133</v>
      </c>
      <c r="E5" s="4" t="s">
        <v>134</v>
      </c>
    </row>
    <row r="6" spans="1:5">
      <c r="A6" s="5" t="s">
        <v>15</v>
      </c>
      <c r="B6" s="6">
        <v>1596545711</v>
      </c>
      <c r="C6" s="6">
        <f>SUM(Components!H4:H7)</f>
        <v>1596545711</v>
      </c>
      <c r="D6" s="6">
        <f t="shared" ref="D6:D20" si="0">C6-B6</f>
        <v>0</v>
      </c>
      <c r="E6" s="5" t="str">
        <f t="shared" ref="E6:E20" si="1">IF(ABS(D6)&lt;=2,"OK","Review")</f>
        <v>OK</v>
      </c>
    </row>
    <row r="7" spans="1:5">
      <c r="A7" s="5" t="s">
        <v>20</v>
      </c>
      <c r="B7" s="6">
        <v>1551545721</v>
      </c>
      <c r="C7" s="6">
        <f>SUM(Components!H8:H11)</f>
        <v>1551545721</v>
      </c>
      <c r="D7" s="6">
        <f t="shared" si="0"/>
        <v>0</v>
      </c>
      <c r="E7" s="5" t="str">
        <f t="shared" si="1"/>
        <v>OK</v>
      </c>
    </row>
    <row r="8" spans="1:5">
      <c r="A8" s="5" t="s">
        <v>21</v>
      </c>
      <c r="B8" s="6">
        <v>1551545692</v>
      </c>
      <c r="C8" s="6">
        <f>SUM(Components!H12:H15)</f>
        <v>1551545692</v>
      </c>
      <c r="D8" s="6">
        <f t="shared" si="0"/>
        <v>0</v>
      </c>
      <c r="E8" s="5" t="str">
        <f t="shared" si="1"/>
        <v>OK</v>
      </c>
    </row>
    <row r="9" spans="1:5">
      <c r="A9" s="5" t="s">
        <v>22</v>
      </c>
      <c r="B9" s="6">
        <v>1551545692</v>
      </c>
      <c r="C9" s="6">
        <f>SUM(Components!H16:H19)</f>
        <v>1551545692</v>
      </c>
      <c r="D9" s="6">
        <f t="shared" si="0"/>
        <v>0</v>
      </c>
      <c r="E9" s="5" t="str">
        <f t="shared" si="1"/>
        <v>OK</v>
      </c>
    </row>
    <row r="10" spans="1:5">
      <c r="A10" s="5" t="s">
        <v>23</v>
      </c>
      <c r="B10" s="6">
        <v>1551498547</v>
      </c>
      <c r="C10" s="6">
        <f>SUM(Components!H20:H23)</f>
        <v>1551498547</v>
      </c>
      <c r="D10" s="6">
        <f t="shared" si="0"/>
        <v>0</v>
      </c>
      <c r="E10" s="5" t="str">
        <f t="shared" si="1"/>
        <v>OK</v>
      </c>
    </row>
    <row r="11" spans="1:5">
      <c r="A11" s="7" t="s">
        <v>24</v>
      </c>
      <c r="B11" s="8">
        <v>1552000000</v>
      </c>
      <c r="C11" s="8">
        <f>SUM(Components!H24:H27)</f>
        <v>1552000000</v>
      </c>
      <c r="D11" s="8">
        <f t="shared" si="0"/>
        <v>0</v>
      </c>
      <c r="E11" s="7" t="str">
        <f t="shared" si="1"/>
        <v>OK</v>
      </c>
    </row>
    <row r="12" spans="1:5">
      <c r="A12" s="7" t="s">
        <v>25</v>
      </c>
      <c r="B12" s="8">
        <v>1552000000</v>
      </c>
      <c r="C12" s="8">
        <f>SUM(Components!H28:H31)</f>
        <v>1552000000.0000002</v>
      </c>
      <c r="D12" s="8">
        <f t="shared" si="0"/>
        <v>0</v>
      </c>
      <c r="E12" s="7" t="str">
        <f t="shared" si="1"/>
        <v>OK</v>
      </c>
    </row>
    <row r="13" spans="1:5">
      <c r="A13" s="7" t="s">
        <v>26</v>
      </c>
      <c r="B13" s="8">
        <v>1552000000</v>
      </c>
      <c r="C13" s="8">
        <f>SUM(Components!H32:H35)</f>
        <v>1552000000</v>
      </c>
      <c r="D13" s="8">
        <f t="shared" si="0"/>
        <v>0</v>
      </c>
      <c r="E13" s="7" t="str">
        <f t="shared" si="1"/>
        <v>OK</v>
      </c>
    </row>
    <row r="14" spans="1:5">
      <c r="A14" s="7" t="s">
        <v>27</v>
      </c>
      <c r="B14" s="8">
        <v>1578000000</v>
      </c>
      <c r="C14" s="8">
        <f>SUM(Components!H36:H39)</f>
        <v>1578000000</v>
      </c>
      <c r="D14" s="8">
        <f t="shared" si="0"/>
        <v>0</v>
      </c>
      <c r="E14" s="7" t="str">
        <f t="shared" si="1"/>
        <v>OK</v>
      </c>
    </row>
    <row r="15" spans="1:5">
      <c r="A15" s="5" t="s">
        <v>28</v>
      </c>
      <c r="B15" s="6">
        <v>1622387305</v>
      </c>
      <c r="C15" s="6">
        <f>SUM(Components!H40:H43)</f>
        <v>1622387305</v>
      </c>
      <c r="D15" s="6">
        <f t="shared" si="0"/>
        <v>0</v>
      </c>
      <c r="E15" s="5" t="str">
        <f t="shared" si="1"/>
        <v>OK</v>
      </c>
    </row>
    <row r="16" spans="1:5">
      <c r="A16" s="5" t="s">
        <v>29</v>
      </c>
      <c r="B16" s="6">
        <v>1622387117</v>
      </c>
      <c r="C16" s="6">
        <f>SUM(Components!H44:H47)</f>
        <v>1622387116.9999998</v>
      </c>
      <c r="D16" s="6">
        <f t="shared" si="0"/>
        <v>0</v>
      </c>
      <c r="E16" s="5" t="str">
        <f t="shared" si="1"/>
        <v>OK</v>
      </c>
    </row>
    <row r="17" spans="1:5">
      <c r="A17" s="5" t="s">
        <v>30</v>
      </c>
      <c r="B17" s="6">
        <v>1622387148</v>
      </c>
      <c r="C17" s="6">
        <f>SUM(Components!H48:H51)</f>
        <v>1622387148</v>
      </c>
      <c r="D17" s="6">
        <f t="shared" si="0"/>
        <v>0</v>
      </c>
      <c r="E17" s="5" t="str">
        <f t="shared" si="1"/>
        <v>OK</v>
      </c>
    </row>
    <row r="18" spans="1:5">
      <c r="A18" s="5" t="s">
        <v>31</v>
      </c>
      <c r="B18" s="6">
        <v>1967226170</v>
      </c>
      <c r="C18" s="6">
        <f>SUM(Components!H52:H55)</f>
        <v>1967226170</v>
      </c>
      <c r="D18" s="6">
        <f t="shared" si="0"/>
        <v>0</v>
      </c>
      <c r="E18" s="5" t="str">
        <f t="shared" si="1"/>
        <v>OK</v>
      </c>
    </row>
    <row r="19" spans="1:5">
      <c r="A19" s="5" t="s">
        <v>32</v>
      </c>
      <c r="B19" s="6">
        <v>1974225843</v>
      </c>
      <c r="C19" s="6">
        <f>SUM(Components!H56:H59)</f>
        <v>1974225843</v>
      </c>
      <c r="D19" s="6">
        <f t="shared" si="0"/>
        <v>0</v>
      </c>
      <c r="E19" s="5" t="str">
        <f t="shared" si="1"/>
        <v>OK</v>
      </c>
    </row>
    <row r="20" spans="1:5">
      <c r="A20" s="5" t="s">
        <v>33</v>
      </c>
      <c r="B20" s="6">
        <v>1979999992</v>
      </c>
      <c r="C20" s="6">
        <f>SUM(Components!H60:H63)</f>
        <v>1979999991.9999998</v>
      </c>
      <c r="D20" s="6">
        <f t="shared" si="0"/>
        <v>0</v>
      </c>
      <c r="E20" s="5" t="str">
        <f t="shared" si="1"/>
        <v>OK</v>
      </c>
    </row>
    <row r="23" spans="1:5">
      <c r="A23" s="2" t="s">
        <v>135</v>
      </c>
      <c r="B23" s="3" t="s">
        <v>136</v>
      </c>
      <c r="C23" s="4" t="s">
        <v>137</v>
      </c>
    </row>
    <row r="24" spans="1:5">
      <c r="A24" s="5" t="s">
        <v>138</v>
      </c>
      <c r="B24" s="17">
        <f>'Annual series'!F5</f>
        <v>0.68197137898216098</v>
      </c>
      <c r="C24" s="5" t="s">
        <v>139</v>
      </c>
    </row>
    <row r="25" spans="1:5">
      <c r="A25" s="5" t="s">
        <v>140</v>
      </c>
      <c r="B25" s="17">
        <f>'Annual series'!G5+'Annual series'!H5-'Annual series'!F5</f>
        <v>0</v>
      </c>
      <c r="C25" s="5" t="s">
        <v>141</v>
      </c>
    </row>
    <row r="26" spans="1:5">
      <c r="A26" s="5" t="s">
        <v>142</v>
      </c>
      <c r="B26" s="5">
        <v>4</v>
      </c>
      <c r="C26" s="5" t="s">
        <v>143</v>
      </c>
    </row>
    <row r="27" spans="1:5">
      <c r="A27" s="5" t="s">
        <v>144</v>
      </c>
      <c r="B27" s="5" t="s">
        <v>33</v>
      </c>
      <c r="C27" s="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Components</vt:lpstr>
      <vt:lpstr>Annual series</vt:lpstr>
      <vt:lpstr>Summary</vt:lpstr>
      <vt:lpstr>Method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Johnson</cp:lastModifiedBy>
  <dcterms:modified xsi:type="dcterms:W3CDTF">2026-09-11T14:32:29Z</dcterms:modified>
</cp:coreProperties>
</file>